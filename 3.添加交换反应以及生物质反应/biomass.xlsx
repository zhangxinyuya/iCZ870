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/>
  </bookViews>
  <sheets>
    <sheet name="biomass composition" sheetId="2" r:id="rId1"/>
    <sheet name="rna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<sst xmlns="http://schemas.openxmlformats.org/spreadsheetml/2006/main" count="496" uniqueCount="404">
  <si>
    <r>
      <rPr>
        <b/>
        <sz val="11"/>
        <color theme="1"/>
        <rFont val="Arial"/>
        <charset val="134"/>
      </rPr>
      <t xml:space="preserve"> Biomass composition of </t>
    </r>
    <r>
      <rPr>
        <b/>
        <i/>
        <sz val="11"/>
        <color theme="1"/>
        <rFont val="Arial"/>
        <charset val="134"/>
      </rPr>
      <t>Corynebacterium glutamicum</t>
    </r>
    <r>
      <rPr>
        <b/>
        <sz val="11"/>
        <color theme="1"/>
        <rFont val="Arial"/>
        <charset val="134"/>
      </rPr>
      <t xml:space="preserve"> ATCC 14067</t>
    </r>
  </si>
  <si>
    <r>
      <rPr>
        <b/>
        <sz val="11"/>
        <color theme="1"/>
        <rFont val="Arial"/>
        <charset val="134"/>
      </rPr>
      <t xml:space="preserve"> Cellular macromolecular composition</t>
    </r>
    <r>
      <rPr>
        <b/>
        <vertAlign val="superscript"/>
        <sz val="11"/>
        <color theme="1"/>
        <rFont val="Arial"/>
        <charset val="134"/>
      </rPr>
      <t>[1]</t>
    </r>
  </si>
  <si>
    <t>Items</t>
  </si>
  <si>
    <t>composition (%)</t>
  </si>
  <si>
    <t>Protein</t>
  </si>
  <si>
    <t>DNA</t>
  </si>
  <si>
    <t>RNA</t>
  </si>
  <si>
    <t>Lipids</t>
  </si>
  <si>
    <t>Cell wall components</t>
  </si>
  <si>
    <t>soluble pool</t>
  </si>
  <si>
    <t>Ash content</t>
  </si>
  <si>
    <t>Sum</t>
  </si>
  <si>
    <r>
      <rPr>
        <b/>
        <sz val="11"/>
        <color theme="1"/>
        <rFont val="Arial"/>
        <charset val="134"/>
      </rPr>
      <t>Bio_cgATCC14067_c</t>
    </r>
    <r>
      <rPr>
        <b/>
        <vertAlign val="superscript"/>
        <sz val="11"/>
        <color theme="1"/>
        <rFont val="Arial"/>
        <charset val="134"/>
      </rPr>
      <t>[2]</t>
    </r>
  </si>
  <si>
    <t>(0.52) protein_c + (0.01) cpd11461_c + (0.05) rna_c + (1) lipids_c + (1) Cellwall_c + (0.093) solublepool_c + (53.925) cpd00001_c + (53.925) cpd00002_c + (0.062224) ions_c =&gt; (53.925) cpd00008_c + (1) biomass_c + (53.925) cpd00067_c + (53.925) cpd00009_c</t>
  </si>
  <si>
    <r>
      <rPr>
        <b/>
        <sz val="11"/>
        <color theme="1"/>
        <rFont val="Arial"/>
        <charset val="134"/>
      </rPr>
      <t>Maintenance(</t>
    </r>
    <r>
      <rPr>
        <b/>
        <i/>
        <sz val="11"/>
        <color theme="1"/>
        <rFont val="Arial"/>
        <charset val="134"/>
      </rPr>
      <t>C. glutamicum</t>
    </r>
    <r>
      <rPr>
        <b/>
        <sz val="11"/>
        <color theme="1"/>
        <rFont val="Arial"/>
        <charset val="134"/>
      </rPr>
      <t xml:space="preserve"> ΔF1FO)</t>
    </r>
    <r>
      <rPr>
        <b/>
        <vertAlign val="superscript"/>
        <sz val="11"/>
        <color theme="1"/>
        <rFont val="Arial"/>
        <charset val="134"/>
      </rPr>
      <t>[2]</t>
    </r>
  </si>
  <si>
    <t>Y_ATP/Biomass</t>
  </si>
  <si>
    <r>
      <t>58.925 ± 5 mmol</t>
    </r>
    <r>
      <rPr>
        <vertAlign val="subscript"/>
        <sz val="11"/>
        <color theme="1"/>
        <rFont val="Arial"/>
        <charset val="134"/>
      </rPr>
      <t>ATP</t>
    </r>
    <r>
      <rPr>
        <sz val="11"/>
        <color theme="1"/>
        <rFont val="Arial"/>
        <charset val="134"/>
      </rPr>
      <t>/gDCW</t>
    </r>
  </si>
  <si>
    <t>NGAM(rxn00062_c)</t>
  </si>
  <si>
    <r>
      <rPr>
        <sz val="11"/>
        <color theme="1"/>
        <rFont val="Arial"/>
        <charset val="134"/>
      </rPr>
      <t>0.19 mmol</t>
    </r>
    <r>
      <rPr>
        <vertAlign val="subscript"/>
        <sz val="11"/>
        <color theme="1"/>
        <rFont val="Arial"/>
        <charset val="134"/>
      </rPr>
      <t>glucose</t>
    </r>
    <r>
      <rPr>
        <sz val="11"/>
        <color theme="1"/>
        <rFont val="Arial"/>
        <charset val="134"/>
      </rPr>
      <t>/gDCW/h</t>
    </r>
  </si>
  <si>
    <r>
      <t>0.8 mmol</t>
    </r>
    <r>
      <rPr>
        <vertAlign val="subscript"/>
        <sz val="11"/>
        <color theme="1"/>
        <rFont val="Arial"/>
        <charset val="134"/>
      </rPr>
      <t>ATP</t>
    </r>
    <r>
      <rPr>
        <sz val="11"/>
        <color theme="1"/>
        <rFont val="Arial"/>
        <charset val="134"/>
      </rPr>
      <t>/gDCW/h</t>
    </r>
  </si>
  <si>
    <r>
      <rPr>
        <b/>
        <sz val="11"/>
        <color theme="1"/>
        <rFont val="Arial"/>
        <charset val="134"/>
      </rPr>
      <t>Protein  composition</t>
    </r>
    <r>
      <rPr>
        <b/>
        <vertAlign val="superscript"/>
        <sz val="11"/>
        <color theme="1"/>
        <rFont val="Arial"/>
        <charset val="134"/>
      </rPr>
      <t>[3]</t>
    </r>
  </si>
  <si>
    <t>Amino Acid</t>
  </si>
  <si>
    <t>mmol/g protein</t>
  </si>
  <si>
    <t>modelseed id</t>
  </si>
  <si>
    <t xml:space="preserve">Alanine </t>
  </si>
  <si>
    <t>cpd00035_c</t>
  </si>
  <si>
    <t xml:space="preserve">Arginine </t>
  </si>
  <si>
    <t>cpd00051_c</t>
  </si>
  <si>
    <t>Asparagine</t>
  </si>
  <si>
    <t>cpd00132_c</t>
  </si>
  <si>
    <t>Aspartate</t>
  </si>
  <si>
    <t>cpd00041_c</t>
  </si>
  <si>
    <t xml:space="preserve">Cysteine </t>
  </si>
  <si>
    <t>cpd00084_c</t>
  </si>
  <si>
    <t xml:space="preserve">Glutamate </t>
  </si>
  <si>
    <t>cpd00023_c</t>
  </si>
  <si>
    <t xml:space="preserve">Glutamine </t>
  </si>
  <si>
    <t>cpd00053_c</t>
  </si>
  <si>
    <t xml:space="preserve">Glycine </t>
  </si>
  <si>
    <t>cpd00033_c</t>
  </si>
  <si>
    <t xml:space="preserve">Histidine </t>
  </si>
  <si>
    <t>cpd00119_c</t>
  </si>
  <si>
    <t xml:space="preserve">Isoleucine </t>
  </si>
  <si>
    <t>cpd00322_c</t>
  </si>
  <si>
    <t xml:space="preserve">Leucine </t>
  </si>
  <si>
    <t>cpd00107_c</t>
  </si>
  <si>
    <t xml:space="preserve">Lysine </t>
  </si>
  <si>
    <t>cpd00039_c</t>
  </si>
  <si>
    <t>Methionine</t>
  </si>
  <si>
    <t>cpd00060_c</t>
  </si>
  <si>
    <t xml:space="preserve">Phenylalanine </t>
  </si>
  <si>
    <t>cpd00066_c</t>
  </si>
  <si>
    <t>Proline</t>
  </si>
  <si>
    <t>cpd00129_c</t>
  </si>
  <si>
    <t xml:space="preserve">Serine </t>
  </si>
  <si>
    <t>cpd00054_c</t>
  </si>
  <si>
    <t>Threonine</t>
  </si>
  <si>
    <t>cpd00161_c</t>
  </si>
  <si>
    <t xml:space="preserve">Tryptophan </t>
  </si>
  <si>
    <t>cpd00065_c</t>
  </si>
  <si>
    <t xml:space="preserve">Tyrosine </t>
  </si>
  <si>
    <t>cpd00069_c</t>
  </si>
  <si>
    <t xml:space="preserve">Valine </t>
  </si>
  <si>
    <t>cpd00156_c</t>
  </si>
  <si>
    <r>
      <rPr>
        <sz val="11"/>
        <color theme="1"/>
        <rFont val="Arial"/>
        <charset val="134"/>
      </rPr>
      <t>ATP(polymerization energy</t>
    </r>
    <r>
      <rPr>
        <sz val="11"/>
        <color theme="1"/>
        <rFont val="宋体"/>
        <charset val="134"/>
      </rPr>
      <t>）</t>
    </r>
  </si>
  <si>
    <t>cpd00002_c</t>
  </si>
  <si>
    <t>Bio_protein_c</t>
  </si>
  <si>
    <t>(1.268) cpd00035_c + (0.361) cpd00051_c + (0.368) cpd00132_c + (0.368) cpd00041_c + (0.084) cpd00084_c + (0.650) cpd00053_c + (1.044) cpd00023_c + (0.671) cpd00033_c + (0.128) cpd00119_c + (0.359) cpd00322_c + (0.669) cpd00107_c + (0.355) cpd00039_c + (0.144) cpd00060_c + (0.244) cpd00066_c + (0.303) cpd00129_c + (0.467) cpd00054_c + (0.519) cpd00161_c + (0.052) cpd00065_c + (0.148) cpd00069_c + (0.520) cpd00156_c =&gt; (1) protein_c</t>
  </si>
  <si>
    <t>DNA composition</t>
  </si>
  <si>
    <r>
      <rPr>
        <sz val="11"/>
        <rFont val="Arial"/>
        <charset val="134"/>
      </rPr>
      <t xml:space="preserve">Calculated based on the genomic GC content of </t>
    </r>
    <r>
      <rPr>
        <i/>
        <sz val="11"/>
        <rFont val="Arial"/>
        <charset val="134"/>
      </rPr>
      <t>Corynebacterium glutamicum</t>
    </r>
    <r>
      <rPr>
        <sz val="11"/>
        <rFont val="Arial"/>
        <charset val="134"/>
      </rPr>
      <t xml:space="preserve"> ATCC 14067</t>
    </r>
  </si>
  <si>
    <t xml:space="preserve">G+C content (%): </t>
  </si>
  <si>
    <t>mol/mol of DNA</t>
  </si>
  <si>
    <t>MW (g/mol)</t>
  </si>
  <si>
    <t>Average molecular weight of DNA</t>
  </si>
  <si>
    <t>mmol/g DNA</t>
  </si>
  <si>
    <t>dNMP</t>
  </si>
  <si>
    <t>dNTP</t>
  </si>
  <si>
    <t>dAMP</t>
  </si>
  <si>
    <t>cpd00294_c</t>
  </si>
  <si>
    <t>cpd00115_c</t>
  </si>
  <si>
    <t>dCMP</t>
  </si>
  <si>
    <t>cpd00206_c</t>
  </si>
  <si>
    <t>cpd00356_c</t>
  </si>
  <si>
    <t>dGMP</t>
  </si>
  <si>
    <t>cpd00296_c</t>
  </si>
  <si>
    <t>cpd00241_c</t>
  </si>
  <si>
    <t>dTMP</t>
  </si>
  <si>
    <t>cpd00298_c</t>
  </si>
  <si>
    <t>cpd00357_c</t>
  </si>
  <si>
    <r>
      <rPr>
        <sz val="11"/>
        <color rgb="FF000000"/>
        <rFont val="Arial"/>
        <charset val="134"/>
      </rPr>
      <t>ATP(polymerization energy</t>
    </r>
    <r>
      <rPr>
        <sz val="11"/>
        <color theme="1"/>
        <rFont val="宋体"/>
        <charset val="134"/>
      </rPr>
      <t>）</t>
    </r>
  </si>
  <si>
    <t>Bio_dna_c</t>
  </si>
  <si>
    <t>(0.701286079) cpd00115_c + (0.827902928) cpd00356_c + (0.827902928) cpd00241_c + (0.701286079) cpd00357_c =&gt; (3.0583) cpd00012_c + (1) cpd11461_c</t>
  </si>
  <si>
    <t xml:space="preserve"> RNA composition</t>
  </si>
  <si>
    <r>
      <rPr>
        <sz val="11"/>
        <rFont val="Arial"/>
        <charset val="134"/>
      </rPr>
      <t xml:space="preserve">The nucleotide composition of rRNA and tRNA was calculated from the sequences of rRNA and tRNA in </t>
    </r>
    <r>
      <rPr>
        <i/>
        <sz val="11"/>
        <rFont val="Arial"/>
        <charset val="134"/>
      </rPr>
      <t>Corynebacterium glutamicum</t>
    </r>
    <r>
      <rPr>
        <sz val="11"/>
        <rFont val="Arial"/>
        <charset val="134"/>
      </rPr>
      <t xml:space="preserve"> ATCC 14067</t>
    </r>
  </si>
  <si>
    <t>mRNA (5%)</t>
  </si>
  <si>
    <t>rRNA (75%)</t>
  </si>
  <si>
    <t>tRNA (20%)</t>
  </si>
  <si>
    <t>Nucleotide</t>
  </si>
  <si>
    <t>mol/mol mRNA</t>
  </si>
  <si>
    <t>mol/mol rRNA</t>
  </si>
  <si>
    <t>mol/mol tRNA</t>
  </si>
  <si>
    <t>mol/mol RNA</t>
  </si>
  <si>
    <t>Average molecular weight of RNA</t>
  </si>
  <si>
    <t>mmol/g RNA</t>
  </si>
  <si>
    <t>NMP</t>
  </si>
  <si>
    <t>NTP</t>
  </si>
  <si>
    <t>AMP</t>
  </si>
  <si>
    <t>cpd00018_c</t>
  </si>
  <si>
    <t>CMP</t>
  </si>
  <si>
    <t>cpd00046_c</t>
  </si>
  <si>
    <t>cpd00052_c</t>
  </si>
  <si>
    <t>GMP</t>
  </si>
  <si>
    <t>cpd00126_c</t>
  </si>
  <si>
    <t>cpd00038_c</t>
  </si>
  <si>
    <t>UMP</t>
  </si>
  <si>
    <t>cpd00091_c</t>
  </si>
  <si>
    <t>cpd00062_c</t>
  </si>
  <si>
    <t>Bio_rna_c</t>
  </si>
  <si>
    <t>(0.7294) cpd00052_c + (0.8906) cpd00038_c + (0.5752) cpd00062_c + (0.7325) cpd00002_c =&gt; (2.9277) cpd00012_c + (1) rna_c</t>
  </si>
  <si>
    <r>
      <rPr>
        <b/>
        <sz val="11"/>
        <color theme="1"/>
        <rFont val="Arial"/>
        <charset val="134"/>
      </rPr>
      <t>Lipids composition</t>
    </r>
    <r>
      <rPr>
        <b/>
        <vertAlign val="superscript"/>
        <sz val="11"/>
        <color theme="1"/>
        <rFont val="Arial"/>
        <charset val="134"/>
      </rPr>
      <t>[3]</t>
    </r>
  </si>
  <si>
    <t>Mycolic acids (0,102 g mycolic acids/g DCW)</t>
  </si>
  <si>
    <t>mmol/g mycolic acids</t>
  </si>
  <si>
    <t>Trehalose monocyrynomycolate</t>
  </si>
  <si>
    <t>tmcm_c</t>
  </si>
  <si>
    <t>Trehalose dicyrynomycolate</t>
  </si>
  <si>
    <t>tdmd_c</t>
  </si>
  <si>
    <t>Free mycolic acids</t>
  </si>
  <si>
    <t>freemyco_c</t>
  </si>
  <si>
    <t>Phospholids (0.028 g phospholipids/g DCW)</t>
  </si>
  <si>
    <t>mmol/g phospholipids</t>
  </si>
  <si>
    <t>Cardiolipin</t>
  </si>
  <si>
    <t>cpd12801_c</t>
  </si>
  <si>
    <t>Phosphatic acid</t>
  </si>
  <si>
    <t>cpd11422_c</t>
  </si>
  <si>
    <t>Phosphatidylglycerol</t>
  </si>
  <si>
    <t>cpd11652_c</t>
  </si>
  <si>
    <t>Phosphatidyllinositol</t>
  </si>
  <si>
    <t>cpd11715_c</t>
  </si>
  <si>
    <t>Phosphatidyllinositol mannoside</t>
  </si>
  <si>
    <t>cpd15920_c</t>
  </si>
  <si>
    <t>Bio_lipids_c</t>
  </si>
  <si>
    <t>(0.102) mycolic_c + (0.028) phospholids_c =&gt; (1) lipids_c</t>
  </si>
  <si>
    <t>Bio_mycolic_c</t>
  </si>
  <si>
    <t xml:space="preserve">(0.061) tmcm_c + (0.043) tdcm_c + (1.875) freemyco_c =&gt; (1) mycolic_c </t>
  </si>
  <si>
    <t>Bio_phospholids_c</t>
  </si>
  <si>
    <t>(0.007) cpd12801_c + (0.033) cpd11422_c + (1.133) cpd11652_c + (0.042) cpd11715_c + (0.065) cpd15920_c =&gt; (1) phospholids_c</t>
  </si>
  <si>
    <r>
      <rPr>
        <b/>
        <sz val="11"/>
        <color theme="1"/>
        <rFont val="Arial"/>
        <charset val="134"/>
      </rPr>
      <t>Cell wall components</t>
    </r>
    <r>
      <rPr>
        <b/>
        <vertAlign val="superscript"/>
        <sz val="11"/>
        <color theme="1"/>
        <rFont val="Arial"/>
        <charset val="134"/>
      </rPr>
      <t>[3]</t>
    </r>
  </si>
  <si>
    <t>Peptidoglycan (0.095 g peptidoglycan/g DCW)</t>
  </si>
  <si>
    <t>mmol/g peptidoglycan</t>
  </si>
  <si>
    <t>N-acetylmuramic acid</t>
  </si>
  <si>
    <t>cpd00773_c</t>
  </si>
  <si>
    <t>N-acetylglucosamine</t>
  </si>
  <si>
    <t>cpd00037_c</t>
  </si>
  <si>
    <t>L -alanine</t>
  </si>
  <si>
    <t>Diaminopimelinic acid</t>
  </si>
  <si>
    <t>cpd00516_c</t>
  </si>
  <si>
    <t>D -glutamate</t>
  </si>
  <si>
    <t>cpd00186_c</t>
  </si>
  <si>
    <t>D -alanine</t>
  </si>
  <si>
    <t>cpd00731_c</t>
  </si>
  <si>
    <t>Arabinogalactan (0.095 g arabinogalactan/g DCW)</t>
  </si>
  <si>
    <t>mmol/g arabinogalactan</t>
  </si>
  <si>
    <t>UDP-L-arabinose</t>
  </si>
  <si>
    <t>cpd00691_c</t>
  </si>
  <si>
    <t>UDP-galactose</t>
  </si>
  <si>
    <t>cpd00043_c</t>
  </si>
  <si>
    <t>Bio_Cellwall_c</t>
  </si>
  <si>
    <t>(0.095) cpd02943_c + (0.095) arabino_c =&gt; (1) Cellwall_c</t>
  </si>
  <si>
    <r>
      <rPr>
        <b/>
        <sz val="11"/>
        <color theme="1"/>
        <rFont val="Arial"/>
        <charset val="134"/>
      </rPr>
      <t>Bio_peptid_c(</t>
    </r>
    <r>
      <rPr>
        <b/>
        <sz val="11"/>
        <color theme="1"/>
        <rFont val="宋体"/>
        <charset val="134"/>
      </rPr>
      <t>弃用</t>
    </r>
    <r>
      <rPr>
        <b/>
        <sz val="11"/>
        <color theme="1"/>
        <rFont val="Arial"/>
        <charset val="134"/>
      </rPr>
      <t>)</t>
    </r>
    <r>
      <rPr>
        <b/>
        <sz val="11"/>
        <color theme="1"/>
        <rFont val="宋体"/>
        <charset val="134"/>
      </rPr>
      <t>已由</t>
    </r>
    <r>
      <rPr>
        <b/>
        <sz val="11"/>
        <color theme="1"/>
        <rFont val="Arial"/>
        <charset val="134"/>
      </rPr>
      <t>rxn03140_c,rxn02009_c,rxn02008_c,rxn02286_c,rxn02285_c,rxn00461_c,rxn00293_c,rxn03638_c</t>
    </r>
    <r>
      <rPr>
        <b/>
        <sz val="11"/>
        <color theme="1"/>
        <rFont val="宋体"/>
        <charset val="134"/>
      </rPr>
      <t>分反应取代</t>
    </r>
  </si>
  <si>
    <t>(1.026) cpd00773_c + (1.026) cpd00037_c + (1.026) cpd00035_c + (1.026) cpd00516_c + (1.026) cpd00186_c + (1.026) cpd00731_c =&gt; (1) peptid_c + (1.026) cpd00014_c + (1.026) cpd00091_c</t>
  </si>
  <si>
    <t>Bio_Arabino_c</t>
  </si>
  <si>
    <t>(4.65) cpd00691_c + (0.498) cpd00043_c =&gt; (1) arabino_c</t>
  </si>
  <si>
    <r>
      <rPr>
        <b/>
        <sz val="11"/>
        <color theme="1"/>
        <rFont val="Arial"/>
        <charset val="134"/>
      </rPr>
      <t>soluble pool</t>
    </r>
    <r>
      <rPr>
        <b/>
        <vertAlign val="superscript"/>
        <sz val="11"/>
        <color theme="1"/>
        <rFont val="Arial"/>
        <charset val="134"/>
      </rPr>
      <t>[4]</t>
    </r>
  </si>
  <si>
    <t>mmol/g soluble</t>
  </si>
  <si>
    <t>Acetyl-CoA</t>
  </si>
  <si>
    <t>cpd00022_c</t>
  </si>
  <si>
    <t>S-Adenosyl-L-methionine</t>
  </si>
  <si>
    <t>cpd00017_c</t>
  </si>
  <si>
    <t>Biotin</t>
  </si>
  <si>
    <t>cpd00104_c</t>
  </si>
  <si>
    <t>Chorismate</t>
  </si>
  <si>
    <t>cpd00216_c</t>
  </si>
  <si>
    <t>CoA</t>
  </si>
  <si>
    <t>cpd00010_c</t>
  </si>
  <si>
    <t>Malonyl-CoA</t>
  </si>
  <si>
    <t xml:space="preserve">cpd00070_c </t>
  </si>
  <si>
    <t>NAD</t>
  </si>
  <si>
    <t>cpd00003_c</t>
  </si>
  <si>
    <t>NADH</t>
  </si>
  <si>
    <t>cpd00004_c</t>
  </si>
  <si>
    <t>NADP</t>
  </si>
  <si>
    <t>cpd00006_c</t>
  </si>
  <si>
    <t>NADPH</t>
  </si>
  <si>
    <t>cpd00005_c</t>
  </si>
  <si>
    <t>Pyridoxal phosphate</t>
  </si>
  <si>
    <t>cpd00016_c</t>
  </si>
  <si>
    <t>Succinyl-CoA</t>
  </si>
  <si>
    <t>cpd00078_c</t>
  </si>
  <si>
    <t>Bactoprenyl diphosphate</t>
  </si>
  <si>
    <t>cpd02229_c</t>
  </si>
  <si>
    <t>Bio_solublepool_c</t>
  </si>
  <si>
    <t>(0.12386) cpd00022_c + (0.099086) cpd00017_c + (0.000887) cpd00104_c + (0.099086) cpd00216_c + (0.074314) cpd00010_c + (0.013872) cpd00070_c + (0.79269) cpd00003_c + (0.019817) cpd00004_c + (0.049543) cpd00006_c + (0.14863) cpd00005_c + (0.099086) cpd00016_c + (0.043598) cpd00078_c + (0.024558) cpd02229_c =&gt; (1) solublepool_c</t>
  </si>
  <si>
    <r>
      <rPr>
        <b/>
        <sz val="11"/>
        <color theme="1"/>
        <rFont val="Arial"/>
        <charset val="134"/>
      </rPr>
      <t>ions</t>
    </r>
    <r>
      <rPr>
        <b/>
        <vertAlign val="superscript"/>
        <sz val="11"/>
        <color theme="1"/>
        <rFont val="Arial"/>
        <charset val="134"/>
      </rPr>
      <t>[4]</t>
    </r>
  </si>
  <si>
    <t>mmol/g ions</t>
  </si>
  <si>
    <t>Ca2+</t>
  </si>
  <si>
    <t>cpd00063_c</t>
  </si>
  <si>
    <t>Cl-</t>
  </si>
  <si>
    <t>cpd00099_c</t>
  </si>
  <si>
    <t>Co2+</t>
  </si>
  <si>
    <t>cpd00149_c</t>
  </si>
  <si>
    <t>Cu2+</t>
  </si>
  <si>
    <t>cpd00058_c</t>
  </si>
  <si>
    <t>Fe+2</t>
  </si>
  <si>
    <t>cpd10515_c</t>
  </si>
  <si>
    <t>Fe+3</t>
  </si>
  <si>
    <t>cpd10516_c</t>
  </si>
  <si>
    <t>K+</t>
  </si>
  <si>
    <t>cpd00205_c</t>
  </si>
  <si>
    <t>Mg</t>
  </si>
  <si>
    <t>cpd00254_c</t>
  </si>
  <si>
    <t>Mn2+</t>
  </si>
  <si>
    <t>cpd00030_c</t>
  </si>
  <si>
    <t>Ni2+</t>
  </si>
  <si>
    <t>cpd00244_c</t>
  </si>
  <si>
    <t>Sulfate</t>
  </si>
  <si>
    <t>cpd00048_c</t>
  </si>
  <si>
    <t>Zn2+</t>
  </si>
  <si>
    <t>cpd00034_c</t>
  </si>
  <si>
    <t>Bio_ions_c</t>
  </si>
  <si>
    <t>(0.54282) cpd00063_c + (0.54282) cpd00099_c + (0.002624) cpd00149_c + (0.073913) cpd00058_c + (0.70023) cpd10515_c + (0.81422) cpd10516_c + (20.3556) cpd00205_c + (0.90469) cpd00254_c + (0.072104) cpd00030_c + (0.033655) cpd00244_c + (0.45235) cpd00048_c + (0.035554) cpd00034_c =&gt; (1) ions_c</t>
  </si>
  <si>
    <t>References:</t>
  </si>
  <si>
    <t>[1] Mei, J., Xu, N., Ye, C., Liu, L. &amp; Wu, J. Reconstruction and analysis of a genome-scale metabolic network of Corynebacterium glutamicum S9114. Gene 575, 615–622 (2016).</t>
  </si>
  <si>
    <t>[2] Zelle, E. et al. An energetic profile of Corynebacterium glutamicum underpinned by measured biomass yield on ATP. Metabolic Engineering 65, 66–78 (2021).</t>
  </si>
  <si>
    <t>[3] Kjeldsen, K. R. &amp; Nielsen, J. In silico genome-scale reconstruction and validation of theCorynebacterium glutamicummetabolic network. Biotechnology and Bioengineering 102, 583–597 (2009).</t>
  </si>
  <si>
    <t>[4] Zhang, Y. et al. A new genome-scale metabolic model of Corynebacterium glutamicum and its application. Biotechnology for Biofuels 10, (2017).</t>
  </si>
  <si>
    <t>rRNA</t>
  </si>
  <si>
    <t>product</t>
  </si>
  <si>
    <t>sequence</t>
  </si>
  <si>
    <t>CEY17_RS00510</t>
  </si>
  <si>
    <t>16S ribosomal RNA</t>
  </si>
  <si>
    <t>tttgtggagagtttgatcctggctcaggacgaacgctggcggcgtgcttaacacatgcaagtcgaacgctgaaaccaaatgcttgcatttggtggatgagtggcgaacgggtgagtaacacgtgggtgatctgccctacactttgggataagcctgggaaactgggtctaataccgaatattcacaccaccgtaggggtggtgtggaaagccttgtgcggtgtgggatgagcctgcggcctatcagcttgttggtggggtaatggcctaccaaggcgtcgacgggtagccggcctgagagggtgtacggccacattgggactgagacacggcccagactcctacgggaggcagcagtggggaatattgcacaatgggcgcaagcctgatgcagcgacgccgcgtgggggatgacggccttcgggttgtaaactcctttcgctagggacgaagccttatggtgacggtacctggagaagaagcaccggctaactacgtgccagcagccgcggtaatacgtagggtgcgagcgttgtccggaattactgggcgtaaagagctcgtaggtggtttgtcgcgtcgtctgtgaaatcccggggcttaacttcgggcgtgcaggcgatacgggcataacttgagtgctgtaggggagactggaattcctggtgtagcggtgaaatgcgcagatatcaggaggaacaccaatggcgaaggcaggtctctgggcagtaactgacgctgaggagcgaaagcatgggtagcgaacaggattagataccctggtagtccatgccgtaaacggtgggcgctaggtgtaggggtcttccacgacttctgtgccgcagctaacgcattaagcgccccgcctggggagtacggccgcaaggctaaaactcaaaggaattgacgggggcccgcacaagcggcggagcatgtggattaattcgatgcaacgcgaagaaccttacctgggcttgacatggaccggatcggcgtagagatacgttttcccttgtggtcggttcacaggtggtgcatggttgtcgtcagctcgtgtcgtgagatgttgggttaagtcccgcaacgagcgcaacccttgtcttatgttgccagcacattatggtgggtactcatgagagactgccggggttaactcggaggaaggtggggatgacgtcaaatcatcatgccccttatgtccagggcttcacacatgctacaatggtcggtacagcgagttgccacaccgtgaggtggagctaatctcttaaagccggcctcagttcggattggggtctgcaactcgaccccatgaagtcggagtcgctagtaatcgcagatcagcaacgctgcggtgaatacgttcccgggccttgtacacaccgcccgtcacgtcatgaaagttggtaacacccgaagccagtggcccaacctttttagggggagctgtcgaaggtgggatcggcgattgggacgaagtcgtaacaaggtagccgtaccggaaggtgcggctggatcacctccttt</t>
  </si>
  <si>
    <t>CEY17_RS00515</t>
  </si>
  <si>
    <t>23S ribosomal RNA</t>
  </si>
  <si>
    <t>tttgttgttttgtagggcacacggtggatgccttggcatatcaagccgatgaaggacgtgagaggctgcgttatgcctcggggagttgccaactaagcgttgatccgaggatgtccgaatggggaaacccagccgcagtgatgtgtggttacctgccagtgaatgtatagctggtgtggaggttgacacggggaagtgaaacatctcagtacccgtaggagaagaaaacaattgtgattccgttagtagtggcgagcgaacgtggatgatggctaaaacttatgtgtgtgatacccggcaggggttgcatgtaggtggttgtggggcaataacgttcatattctgccggatgtgggcatgtgctgcgtggttagtggaagtggtgtggaaacacctgccgtagaaggtgagagtcctgtacacgaagatcatggtggtgtgtgtggttgttgataccccgagtagcagcgggctcgtggaatctgctgtgaattagccgggaccacccggtaagcctgaatacttgatatgaccgatagcggattagtaccgtgagggaatggtgaaaagtaccccgggaggggagtgaaatagtacctgaaaccgtgtgctgtcaatccgtcagagcacccgtttgtggtgtgatggcgtgccttttgaagaatgagcctgcgagtcagcggcatgtcgcgaggttaacccgtgtggggtagccgtagggaaaccgaatcctaacgagggtgattttgagtggcatgtcttggacccgaagcggagtgatctacccatggccagtgtgaagcagctgtaagaggttgtggaggcgcgaacccacttaggttgaaaactgaggggatgagttgtgggtaggggtgaaaggccaatcaaactccgtgatagctggttctccccgaaatgcatttaggtgcagcgtcgtgtgtttcttgccggaggtagagctactggatggtttagcgggaccaacatcttagcgacatcagccaaactccgaatgccggtaagtcagagcacggcagtgagactgcgggggataagcttcgtagtcgagagggaaacagcccagatcgccggctaaggcccctaagggtgtgctaagtggaaaaggaggtggggtcgcgaagacagccaggaggttggcttagaagcagccatccttgaaagagtgcgtaatagctcactggtcgagtgattccgcgccgacaatgtagtggggcttaagtacaccgccgaagccgcggcaatgatccttttggattgttgggtaggggagcgtcgtgcatgcgttgaagctttggggtgaccttgggtggagtgtgtgcgagtgagaatgcaggcatgagtaacgaatgatgcgtgagaaacgtatccgccggatgactaagggttcctgggtcaagttaatcttcccagggtgagtcggggcctaaggcgaggccgacaggcgtagtcgatggataacgggttgatattcccgtacccgagtatgagcgaccatggtgaatcagtgatactaaccacccataagcacccgcgaaaaggctttgcttttttgtggtgtgtggttgcgtgggacctgatctggtagtagctaagtgatggggtgacgcagggaggtagctcagccacttattggattgtggtgtaagcgtgtggcacgcagtgtaggtcaaatccgcactgtttttgtgtgaggcgtgatgcggagcccgtaaaagggtgaagtgggtgatcctgtgctgtcgagaaaagcctctagcgatgttgatattcggcccgtaccctaaaccgacacaggtagtcaggtagagaatactaaggcgttcgggtgaactgtggttaaggaactcggcaaaatgcccccgtaacttcgggagaagggggccacggcgtgtgaacaacttttcgttgggagcgtgttgtggtcgcagagaatagagggaagcgactgtttactaaaaacacaggtccgtgcgaagacgtttaagttgatgtatacggactgacgcctgcccggtgctggaaggttaagaggaccggttagtgacctttatggttgcgaagctgagaatttaagccccagtaaacggcggtggtaactataaccatcctaaggtagcgaaattccttgtcgggtaagttccgacctgcacgaatggcgtaacgacttccctgctgtctcaaccacaggcccggtgaaattgcagtacgagtaaagatgctcgttacgcgcggcaggacgaaaagacccgggaccttcactatagcttggtattggtgtttgattcggtttgtgtaggataggtgggagactttgatcatatgacgctagttgtgtgtgagtcgttggtgaaataccactctgatcggattggatgtcttaaccttggcccatgatctgggttggggacagtgcctggtgggtagtttaactggggcggttgcctcctaaaatgtaacggaggcgcccaaaggtttcctcagcttggttggtaatcaggtggtgagtgtaagtgcacaagggagcttgactgtgacactgacaggtggagcagggacgaaagtcgggactagtgatccggcacctacttgtggttgtggtgtcgctcaacggataaaaggtaccccggggataacaggctgatcttccccaagagtccatatcgacgggatggtttggcacctcgatgtcggctcgtcgcatcctggggctggagtaggtcccaagggttgggctgttcgcccattaaagcggcacgcgagctgggtttagaacgtcgtgagacagttcggtctctatccgccgcgcgcgttgaaacttgaaggaaggctgtccctagtacgagaggaccgggacggacgtacctctggtgtgccagttgttccgccaggagcagggctggttggctacgtacgggagggataaccgctgaaagcatctaagcgggaagcctgtttcgagatgaggtttcttttgaggttccctagagattatggggttgataggccagatctggaagcactgtgaggtgtggaggtgactggtactaatttaccgataacaacaaacc</t>
  </si>
  <si>
    <t>CEY17_RS04425</t>
  </si>
  <si>
    <t>5S ribosomal RNA</t>
  </si>
  <si>
    <t>tttgtggagagtttgatcctggctcaggacgaacgctggcggcgtgcttaacacatgcaagtcgaacgctgaaaccaaatgcttgcatttggtggatgagtggcgaacgggtgagtaacacgtgggtgatctgccctacactttgggataagcctgggaaactgggtctaataccgaatattcacaccaccgtaggggtggtgtggaaagctttatgcggtgtgggatgagcctgcggcctatcagcttgttggtggggtaatggcctaccaaggcgtcgacgggtagccggcctgagagggtgtacggccacattgggactgagacacggcccagactcctacgggaggcagcagtggggaatattgcacaatgggcgcaagcctgatgcagcgacgccgcgggggatgacggccttcgggttgtaaactcctttcgctagggacgaagccttttaggtgacggtacctggagaagaagcaccggctaactacgtgccagcagccgcggtaatacgtagggtgcgagcgttgtccggaattactgggcgtaaagagctcgtaggtggtttgtcgcgtcgtctgtgaaatcccggggcttaacttcgggcgtgcaggcgatacgggcataacttgagtgctgtaggggagactggaattcctggtgtagcggtgaaatgcgcagatatcaggaggaacaccaatggcgaaggcaggtctctgggcagtaactgacgctgaggagcgaaagcatgggtagcgaacaggattagataccctggtagtccatgccgtaaacggtgggcgctaggtgtaggggtcttccacgacttctgtgccgcagctaacgcattaagcgccccgcctggggagtacggccgcaaggctaaaactcaaaggaattgacgggggcccgcacaagcggcggagcatgtggattaattcgatgcaacgcgaagaaccttacctgggcttgacatggaccggatcggcgtagagatacgttttcccttgtggtcggttcacaggtggtgcatggttgtcgtcagctcgtgtcgtgagatgttgggttaagtcccgcaacgagcgcaacccttgtcttatgttgccagcacattgtggtgggtactcatgagagactgccggggttaactcggaggaaggtggggatgacgtcaaatcatcatgccccttatgtccagggcttcacacatgctacaatggtcggtacagcgagttgccacaccgtgaggtggagctaatctcttaaagccggcctcagttcggattggggtctgcaactcgaccccatgaagtcggagtcgctagtaatcgcagatcagcaacgctgcggtgaatacgttcccgggccttgtacacaccgcccgtcacgtcatgaaagttggtaacacccgaagccagtggcccaacctttttagggggagctgtcgaaggtgggatcggcgattgggacgaagtcgtaacaaggtagccgtaccggaaggtgcggctggatcacctccttt</t>
  </si>
  <si>
    <t>CEY17_RS04430</t>
  </si>
  <si>
    <t>tttgttgttttgtagggcacacggtggatgccttggcatatcaagccgatgaaggacgtgagaggctgcgttatgcctcggggagttgccaactaagcgttgatccgaggatgtccgaatggggaaacccagccgcagtgatgtgtggttacctgccagtgaatgtatagctggtgtggaggttgacacggggaagtgaaacatctcagtacccgtaggagaagaaaacaattgtgattccgttagtagtggcgagcgaacgtggatgatggctaaaacttatgtgtgtgatacccggcaggggttgcatgtaggtggttgtggggcaatgacgttcatattctgccggatgtgggcatgtgctgcgtggttagtggaagtggtgtggaaacacctgccgtagaaggtgagagtcctgtacacgaagatcatggtggtgtgtgtggttgttgataccccgagtagcagcgggctcgtggaatctgctgtgaattagccgggaccacccggtaagcctgaatacttgatatgaccgatagcggattagtaccgtgagggaatggtgaaaagtaccccgggaggggagtgaaatagtacctgaaaccgtgtgctgtcaatccgtcagagcacccgtttgtggtgtgatggcgtgccttttgaagaatgagcctgcgagtcagcggcatgtcgcgaggttaacccgtgtggggtagccgtagggaaaccgaatcctaacgagggtgttttagtggcatgtcttggacccgaagcggagtgatctacccatggccagtgtgaagcagctgtaagaggttgtggaggcgcgaacccacttaggttgaaaactgaggggatgagttgtgggtaggggtgaaaggccaatcaaactccgtgatagctggttctccccgaaatgcatttaggtgcagcgtcgtgtgtttcttgccggaggtagagctactggatggtttagcgggaccaacatcttagcgacatcagccaaactccgaatgccggtaagtcagagcacggcagtgagactgcgggggataagcttcgtagtcgagagggaaacagcccagatcgccggctaaggcccctaagggtgtgctaagtggaaaaggaggtggggtcgcgaagacagccaggaggttggcttagaagcagccatccttgaaagagtgcgtaatagctcactggtcgagtgattccgcgccgacaatgtagtggggcttaagtacaccgccgaagccgcggcaatgatctttataagattgttgggtaggggagcgtcgtgcatgcgttgaagctttggggtgaccttgggtggagtgtgtgcgagtgagaatgcaggcatgagtaacgaatgatgcgtgagaaacgtatccgccggatgactaagggttcctgggtcaagttaatcttcccagggtgagtcggggcctaaggcgaggccgacaggcgtagtcgatggataacgggttgatattcccgtacccgagtatgagcgaccatggtgaatcagtgatactaaccacccataagcacccgcgaaaaggctttgcttttttgtggtgtgtggttgcgtgggacctgatctggtagtagctaagtgatggggtgacgcagggaggtagctcagccacttattggattgtggtgtaagcgtgtggcacgcagtgtaggtcaaatccgcactgtttttgtgtgaggcgtgatgcggagcccgttaagggtgaagtgggtgatcctgtgctgtcgagaaaagcctctagcgatgttgatattcggcccgtaccctaaaccgacacaggtagtcaggtagagaatactaaggcgttcgggtgaactgtggttaaggaactcggcaaaatgcccccgtaacttcgggagaaggggggccacggcgtgtgaacaacttttcgttgggagcgtgttgtggtcgcagagaatagagggaagcgactgtttactaaaaacacaggtccgtgcgaagacgtttaagttgatgtatacggactgacgcctgcccggtgctggaaggttaagaggaccggttagtgacctttatggttgcgaagctgagaatttaagccccagtaaacggcggtggtaactataaccatcctaaggtagcgaaattccttgtcgggtaagttccgacctgcacgaatggcgtaacgacttccctgctgtctcaaccacaggcccggtgaaattgcagtacgagtaaagatgctcgttacgcgcggcaggacgaaaagaccccgggaccttcactatagcttggtattggtgtttgattcggtttgtgtaggataggtgggagactttgatcatatgacgctagttgtgtgtgagtcgttggtgaaataccactctgatcggattggatgtcttaaccttggcccatgatctgggttggggacagtgcctggtgggtagtttaactggggcggttgcctcctaaaatgtaacggaggcgcccaaaggtttcctcagcttggttggtaatcaggtggtgagtgtaagtgcacaagggagcttgactgtgacactgacaggtggagcagggacgaaagtcgggactagtgatccggcacctacttgtggttgtggtgtcgctcaacggataaaaggtaccccggggataacaggctgatcttccccaagagtccatatcgacgggatggtttggcacctcgatgtcggctcgtcgcatcctggggctggagtaggtcccaagggttgggctgttcgcccattaaagcggcacgcgagctgggtttagaacgtcgtgagacagttcggtctctatccgccgcgcgcgttgaaacttgaaggaaggctgtccctagtacgagaggaccgggacggacgtacctctggtgtgccagttgttccgccaggagcagggctggttggctacgtacgggagggataaccgctgaaagcatctaagcgggaagcctgtttcgagatgaggtttcttttgaggttccctagagattatggggttgataggccagatctggaagcactgtgaggtgtggaggtgactggtactaatttaccgataacaacaaacc</t>
  </si>
  <si>
    <t>CEY17_RS04435(rrf)</t>
  </si>
  <si>
    <t>gtcggtggtgatagtagcagggaaacgcccggtccctttccgaacccggaagctaagcctggttacgctgatggtactgcactcgggagggtgtgggagagtaggttaccgccgacc</t>
  </si>
  <si>
    <t>CEY17_RS07570</t>
  </si>
  <si>
    <t>tttgtggagagtttgatcctggctcaggacgaacgctggcggcgtgcttaacacatgcaagtcgaacgctgaaaccaaatgcttgcatttggtggatgagtggcgaacgggtgagtaacacgtgggtgatctgccctacactttgggataagcctgggaaactgggtctaataccgaatattcacaccaccgtaggggtggtgtggaaagctttatgcggtgtgggatgagcctgcggcctatcagcttgttggtggggtaatggcctaccaaggcgtcgacgggtagccggcctgagagggtgtacggccacattgggactgagacacggcccagactcctacgggaggcagcagtggggaatattgcacaatgggcgcaagcctgatgcagcgacgccgcgtgggggatgacggccttcgggttgtaaactcctttcgctagggacgaagccttatggtgacggtacctggagaagaagcaccggctaactacgtgccagcagccgcggtaatacgtagggtgcgagcgttgtccggaattactgggcgtaaagagctcgtaggtggtttgtcgcgtcgtctgtgaaatcccggggcttaacttcgggcgtgcaggcgatacgggcataacttgagtgctgtaggggagactggaattcctggtgtagcggtgaaatgcgcagatatcaggaggaacaccaatggcgaaggcaggtctctgggcagtaactgacgctgaggagcgaaagcatgggtagcgaacaggattagataccctggtagtccatgccgtaaacggtgggcgctaggtgtagggtcttccacgacttctgtgccgcagctaacgcattaagcgccccgcctggggagtacggccgcaaggctaaaactcaaaggaattgacgggggcccgcacaagcggcggagcatgtggattaattcgatgcaacgcgaagaaccttacctgggcttgacatggaccggatcggcgtagagatacgttttcccttgtggtcggttcacaggtggtgcatggttgtcgtcagctcgtgtcgtgagatgttgggttaagtcccgcaacgagcgcaacccttgtcttatgttgccagcacattgtggtgggtactcatgagagactgccggggttaactcggaggaaggtggggatgacgtcaaatcatcatgccccttatgtccagggcttcacacatgctacaatggtcggtacagcgagttgccacaccgtgaggtggagctaatctcttaaagccggcctcagttcggattggggtctgcaactcgaccccatgaagtcggagtcgctagtaatcgcagatcagcaacgctgcggtgaatacgttcccgggccttgtacacaccgcccgtcacgtcatgaaagttggtaacacccgaagccagtggcccaacctttttaggggggagctgtcgaaggtgggatcggcgattgggacgaagtcgtaacaaggtagccgtaccggaaggtgcggctggatcacctccttt</t>
  </si>
  <si>
    <t>CEY17_RS07575</t>
  </si>
  <si>
    <t>tttgttgttttgtagggcacacggtggatgccttggcatatcaagccgatgaaggacgtgagaggctgcgttatgcctcggggagttgccaactaagcgttgatccgaggatgtccgaatggggaaacccagccgcagtgatgtgtggttacctgccagtgaatgtatagctggtgtggaggttgacacggggaagtgaaacatctcagtacccgtaggagaagaaaacaattgtgattccgttagtagtggcgagcgaacgtggatgatggctaaaacttatgtgtgtgatacccggcaggggttgcatgtaggtggttgtggggcaatgacgttcatattctgccggatgtgggcatgtgctgcgtggttagtggaagtggtgtggaaacacctgccgtagaaggtgagagtcctgtacacgaagatcatggtggtgtgtgtggttgttgataccccgagtagcagcgggctcgtggaatctgctgtgaattagccgggaccacccggtaagcctgaatacttgatatgaccgatagcggattagtaccgtgagggaatggtgaaaagtaccccgggaggggagtgaaatagtacctgaaaccgtgtgctgtcaatccgtcagagcacccgtttgtggtgtgatggcgtgccttttgaagaatgagcctgcgagtcagcggcatgtcgcgaggttaacccgtgtggggtagccgtagggaaaccgaatcctaacgagggtgattttgagtggcatgtcttggacccgaagcggagtgatctacccatggccagtgtgaagcagctgtaagaggttgtggaggcgcgaacccacttaggttgaaaactgaggggatgagttgtgggtaggggtgaaaggccaatcaaactccgtgatagctggttctccccgaaatgcatttaggtgcagcgtcgtgtgtttcttgccggaggtagagctactggatggtttagcgggaccaacatcttagcgacatcagccaaactccgaatgccggtaagtcagagcacggcagtgagactgcgggggataagcttcgtagtcgagagggaaacagcccagatcgccggctaaggcccctaagggtgtgctaagtggaaaaggaggtggggtcgcgaagacagccaggaggttggcttagaagcagccatccttgaaagagtgcgtaatagctcactggtcgagtgattccgcgccgacaatgtagtggggcttaagtacaccgccgaagccgcggcaatgatccttttggattgttgggtaggggagcgtcgtgcatgcgttgaagctttggggtgaccttgggtggagtgtgtgcgagtgagaatgcaggcatgagtaacgaatgatgcgtgagaaacgtatccgccggatgactaagggttcctgggtcaagttaatcttcccagggtgagtcggggcctaaggcgaggccgacaggcgtagtcgatggataacgggttgatattcccgtacccgagtatgagcgaccatggtgaatcagtgatactaaccatccataagcacccgcgaaaaggttttgcttttttgtggtgtgtggttgcgtgggacctgatctggtagtagctaagtgatggggtgacgcagggaggtagctcagccacttattggattgtggtgtaagcgtgtggcacgcagtgtaggtcaaatccgcactgtttttgtgtgaggcgtgatgcggagcccgttaagggtgaagtgggtgatcctgtgctgtcgagaaaagcctctagcgatgttgatattcggcccgtaccctaaaccgacacaggtagtcaggtagagaatactaaggcgttcgggtgaactgtggttaaggaactcggcaaaatgccccgtaacttcgggagaaggggggccacggcgtgtgaacaacttttcgttgggagcgtgttgtggtcgcagagaatagagggaagcgactgtttactaaaaacacaggtccgtgcgaagacgtttaagttgatgtatacggactgacgcctgcccggtgctggaaggttaagaggaccggttagtgacctttatggttgcgaagctgagaatttaagccccagtaaacggcggtggtaactataaccatcctaaggtagcgaaattccttgtcgggtaagttccgacctgcacgaatggcgtaacgacttccctgctgtctcaaccacaggcccggtgaaattgcagtacgagtaaagatgctcgttacgcgcggcaggacgaaaagaccccgggaccttcactatagcttggtattggtgtttgattcggtttgtgtaggataggtgggagactttgatcatatgacgctagttgtgtgtgagtcgttggtgaaataccactctgatcggattggatgtcttaaccttggcccatgatctgggttggggacagtgcctggtgggtagtttaactggggcggttgcctcctaaaatgtaacggaggcgcccaaaggtttcctcagcttggttggtaatcaggtggtgagtgtaagtgcacaagggagcttgactgtgacactgacaggtggagcagggacgaaagtcgggactagtgatccggcacctacttgtggttgtggtgtcgctcaacggataaaaggtaccccggggataacaggctgatcttccccaagagtccatatcgacgggatggtttggcacctcgatgtcggctcgtcgcatcctggggctggagtaggtcccaagggttgggctgttcgcccattaaagcggcacgcgagctgggtttagaacgtcgtgagacagttcggtctctatccgccgcgcgcgttgaaacttgaaggaaggctgtccctagtacgagaggaccgggacggacgtacctctggtgtgccagttgttccgccaggagcagggctggttggctacgtacgggagggataaccgctgaaagcatctaagcgggaagcctgtttcgagatgaggtttcttttgaggttccctagagattatggggttgataggccagatctggaagcactgtgaggtgtggaggtgactggtactaatttaccgataacaacaaacc</t>
  </si>
  <si>
    <t>CEY17_RS07580</t>
  </si>
  <si>
    <t>CEY17_RS12990(rrf)</t>
  </si>
  <si>
    <t>CEY17_RS12995</t>
  </si>
  <si>
    <t>ggtttgttgttatcggtaaattagtaccagtcacctccacacctcacagtgcttccagatctggcctatcaaccccataatctctagggaacctcaaaagaaacctcatctcgaaacaggcttcccgcttagatgctttcagcggttatccctcccgtacgtagccaaccagccctgctcctggcggaacaactggcacaccagaggtacgtccgtcccggtcctctcgtactagggacagccttccttcaagtttcaacgcgcgcggcggatagagaccgaactgtctcacgacgttctaaacccagctcgcgtgccgctttaatgggcgaacagcccaacccttgggacctactccagccccaggatgcgacgagccgacatcgaggtgccaaaccatcccgtcgatatggactcttgggaagatcagcctgttatccccggggtaccttttatccgttgagcgacaccacaaccacaagtaggtgccggatcactagtcccgactttcgtccctgctccacctgtcagtgtcacagtcaagctcccttgtgcacttacactcaccacctgattaccaaccaagctgaggaaacctttgggcgcctccgttacattttaggaggcaaccgccccagttaaactacccaccaggcactgtccccaacccagatcatgggccaaggttaagacatccaatccgatcagagtggtatttcaccaacgactcacacacaactagcgtcatatgatcaaagtctcccacctatcctacacaaaccgaatcaaacaccaataccaagctatagtgaaggtcccgggtcttttcgtcctgccgcgcgtaacgagcatctttactcgtactgcaatttcaccgggcctgtggttgagacagcagggaagtcgttacgccattcgtgcaggtcggaacttacccgacaaggaatttcgctaccttaggatggttatagttaccaccgccgtttactggggcttaaattctcagcttcgcaaccaaaaggtcactaaccggtcctcttaaccttccagcaccgggcaggcgtcagtccgtatacatcaacttaaacgtcttcgcacggacctgtgtttttagtaaacagtcgcttccctctattctctgcgaccacaacacgctcccaacgaaaagttgttcacacgccgtggcccccttctcccgaagttacgggggcattttgccgagttccttaaccacagttcacccgaacgccttagtattctctacctgactacctgtgtcggtttagggtacgggccgaatatcaacatcgctagaggcttttctcgacagcacaggatcacccacttcacccttttacgggctccgcatcacgcctcacacaaaaacagtgcggatttgacctacactgcgtgccacacgcttacaccacaatccaataagtggctgagctacctccctgcgtcaccccatcacttagctactaccagatcaggtcccacgcaaccacacaccacaaaaaagcaaaaccttttcgcgggtgcttatggatggttagtatcactgattcaccatggtcgctcatactcgggtacgggaatatcaacccgttatccatcgactacgcctgtcggcctcgccttaggccccgactcaccctgggaagattaacttgacccaggaacccttagtcatccggcggatacgtttctcacgcatcattcgttactcatgcctgcattctcactcgcacacactccacccaaggtcaccccaaagcttcaacgcatgcacgacgctcccctacccaacaatccaaaaggatcattgccgcggcttcggcggtgtacttaagccccactacattgtcggcgcggaatcactcgaccagtgagctattacgcactctttcaaggatggctgcttctaagccaacctcctggctgtcttcgcgaccccacctccttttccacttagcacacccttaggggccttagccggcgatctgggctgtttccctctcgactacgaagcttatccccgcagtctcactgccgtgctctgacttaccggcattcggagtttggctgatgtcgctaagatgttggtcccgctaaaccatccagtagctctacctccggcaagaaacacacgacgctgcacctaaatgcatttcggggagaaccagctatcacggagtttgattggcctttcacccctacccacaactcatcccctcagttttcaacctaagtgggttcgcgcctccacaacctcttacagctgcttcacactggccatgggtagatcactccgcttcgggtccaagacatgccactaaaacaccctcgttaggattcggtttccctacggctaccccacacgggttaacctcgcgacatgccgctgactcgcaggctcattcttcaaaaggcacgccatcacaccacaaacgggtgctctgacggattgacagcacacggtttcaggtactatttcactcccctcccggggtacttttcaccattccctcacggtactaatccgctatcggtcatatcaagtattcaggcttaccgggtggtcccggctaattcacagcagattccacgagcccgctgctactcggggtatcaacaaccacacacaccaccatgatcttcgtgtacaggactctcaccttctacggcaggtgtttccacaccacttccactaaccacgcagcacatgcccacatccggcagaatatgaacgttattgccccacaaccacctacatgcaacccctgccgggtatcacacacataagttttagccatcatccacgttcgctcgccactactaacggaatcacaattgttttcttctcctacgggtactgagatgtttcacttccccgtgtcaacctccacaccagctatacattcactggcaggtaaccacacatcactgcggctgggtttccccattcggacatcctcggatcaacgcttagttggcaactccccgaggcataacgcagcctctcacgtccttcatcggcttgatatgccaaggcatccaccgtgtgccctacaaaacaacaaa</t>
  </si>
  <si>
    <t>CEY17_RS13000</t>
  </si>
  <si>
    <t>aaaggaggtgatccagccgcaccttccggtacggctaccttgttacgacttcgtcccaatcgccgatcccaccttcgacagctcccccctaaaaaggttgggccactggcttcgggtgttaccaactttcatgacgtgacgggcggtgtgtacaaggcccgggaacgtattcaccgcagcgttgctgatctgcgattactagcgactccgacttcatgggtcgagttgcagaccccaatccgaactgaggccggctttaagagattagctccacctcacggtgtggcaactcgctgtaccgaccattgtagcatgtgtgaagccctggacataaggggcatgatgatttgacgtcatccccaccttcctccgagttaaccccggcagtctctcatgagtacccaccataatgtgctggcaacataagacaagggttgcgctcgttgcgggacttaacccaacatctcacgacacgagctgacgacaaccatgcaccacctgtgaaccgaccacaagggaaaacgtatctctacgccgatccggtccatgtcaagcccaggtaaggttcttcgcgttgcatcgaattaatccacatgctccgccgcttgtgcgggcccccgtcaattcctttgagttttagccttgcggccgtactccccaggcggggcgcttaatgcgttagctgcggcacagaagtcgtggaagacccctacacctagcgcccaccgtttacggcatggactaccagggtatctaatcctgttcgctacccatgctttcgctcctcagcgtcagttactgcccagagacctgccttcgccattggtgttcctcctgatatctgcgcatttcaccgctacaccaggaattccagtctcccctacagcactcaagttatgcccgtatcgcctgcacgcccgaagttaagccccgggatttcacagacgacgcgacaaaccacctacgagctctttacgcccagtaattccggacaacgctcgcaccctacgtattaccgcggctgctggcacgtagttagccggtgcttcttctccaggtaccgtcacctaaaaggcttcgtccctagcgaaaggagtttacaacccgaaggccgtcatcccccacgcggcgtcgctgcatcaggcttgcgcccattgtgcaatattccccactgctgcctcccgtaggagtctgggccgtgtctcagtcccaatgtggccgtacaccctctcaggccggctacccgtcgacgccttggtaggccattaccccaccaacaagctgataggccgcaggctcatcccacaccgcataaagctttccacaccaccctacggtggtgtgaatattcggtattagacccagtttcccaggcttatcccaaagtgtagggcagatcacccacgtgttactcacccgttcgccactcatccaccaaatgcaagcatttggtttcagcgttcgacttgcatgtgttaagcacgccgccagcgttcgtcctgagccaggatcaaactctccacaaa</t>
  </si>
  <si>
    <t>CEY17_RS13030</t>
  </si>
  <si>
    <t>ggtcggcggtaacctactctcccacaccctcccgagtgcagtaccatcagcgtaaccaggcttagcttccgggttcggaaagggaccgggcgtttccctgctactatcaccaccgac</t>
  </si>
  <si>
    <t>CEY17_RS13035</t>
  </si>
  <si>
    <t>ggtttgttgttatcggtaaattagtaccagtcacctccacacctcacagtgcttccagatctggcctatcaaccccataatctctagggaacctcaaaagaaacctcatctcgaaacaggcttcccgcttagatgctttcagcggttatccctcccgtacgtagccaaccagccctgctcctggcggaacaactggcacaccagaggtacgtccgtcccggtcctctcgtactagggacagccttccttcaagtttcaacgcgcgcggcggatagagaccgaactgtctcacgacgttctaaacccagctcgcgtgccgctttaatgggcgaacagcccaacccttgggacctactccagccccaggatgcgacgagccgacatcgaggtgccaaaccatcccgtcgatatggactcttgggaagatcagcctgttatccccggggtaccttttatccgttgagcgacaccacaaccacaagtaggtgccggatcactagtcccgactttcgtccctgctccacctgtcagtgtcacagtcaagctcccttgtgcacttacactcaccacctgattaccaaccaagctgaggaaacctttgggcgcctccgttacattttaggaggcaaccgccccagttaaactacccaccaggcactgtccccaacccagatcatgggccaaggttaagacatccaatccgatcagagtggtatttcaccaacgactcacacacaactagcgtcatatgatcaaagtctcccacctatcctacacaaaccgaatcaaacaccaataccaagctatagtgaaggtcccggggtcttttcgtcctgccgcgcgtaacgagcatctttactcgtactgcaatttcaccgggcctgtggttgagacagcagggaagtcgttacgccattcgtgcaggtcggaacttacccgacaaggaatttcgctaccttaggatggttatagttaccaccgccgtttactggggcttaaattctcagcttcgcaaccaaaaggtcactaaccggtcctcttaaccttccagcaccgggcaggcgtcagtccgtatacatcaacttaaacgtcttcgcacggacctgtgtttttagtaaacagtcgcttccctctattctctgcgaccacaacacgctcccaacgaaaagttgttcacacgccgtggccccccttctcccgaagttacgggggcattttgccgagttccttaaccacagttcacccgaacgccttagtattctctacctgactacctgtgtcggtttagggtacgggccgaatatcaacatcgctagaggcttttctcgacagcacaggatcacccacttcacccttaacgggctccgcatcacgcctcacacaaaaacagtgcggatttgacctacactgcgtgccacacgcttacaccacaatccaataagtggctgagctacctccctgcgtcaccccatcacttagctactaccagatcaggtcccacgcaaccacacaccacaaaaaagcaaaaccttctcgcgggtgcttatggatggttagtatcactgattcaccatggtcgctcatactcgggtacgggaatatcaacccgttatccatcgactacgcctgtcggcctcgccttaggccccgactcaccctgggaagattaacttgacccaggaacccttagtcatccggcggatacgtttctcacgcatcattcgttactcatgcctgcattctcactcgcacacactccacccaaggtcaccccaaagcttcaacgcatgcacgacgctcccctacccaacaatccaaaaagatcattgccgcggcttcggcggtgtacttaagccccactacattgtcggcgcggaatcactcgaccagtgagctattacgcactctttcaaggatggctgcttctaagccaacctcctggctgtcttcgcgaccccacctccttttccacttagcacacccttaggggccttagccggcgatctgggctgtttccctctcgactacgaagcttatcccccgcagtctcactgccgtgctctgacttaccggcattcggagtttggctgatgtcgctaagatgttggtcccgctaaaccatccagtagctctacctccggcaagaaacacacgacgctgcacctaaatgcatttcggggagaaccagctatcacggagtttgattggcctttcacccctacccacaactcatcccctcagttttcaacctaagtgggttcgcgcctccacaacctcttacagctgcttcacactggccatgggtagatcactccgcttcgggtccaagacatgccactcaaaatcaccctcgttaggattcggtttccctacggctaccccacacgggttaacctcgcgacatgccgctgactcgcaggctcattcttcaaaaggcacgccatcacaccacaaacgggtgctctgacggattgacagcacacggtttcaggtactatttcactcccctcccggggtacttttcaccattccctcacggtactaatccgctatcggtcatatcaagtattcaggcttaccgggtggtcccggctaattcacagcagattccacgagcccgctgctactcgggtatcaacaaccacacacaccaccatgatcttcgtgtacaggactctcaccttctacggcaggtgtttccacaccacttccactaaccacgcagcacatgcccacatccggcagaatatgaacgtcattgccccacaaccacctacatgcaaccctgccgggtatcacacacataagttttagccatcatccacgttcgctcgccactactaacggaatcacaattgttttcttctcctacgggtactgagatgtttcacttccccgtgtcaacctccacaccagctatacattcactggcaggtaaccacacatcactgcggctgggtttccccattcggacatcctcggatcaacgcttagttggcaactccccgaggcataacgcagcctctcacgtccttcatcggcttgatatgccaaggcatccaccgtgtgccctacaaaacaacaaa</t>
  </si>
  <si>
    <t>CEY17_RS13040</t>
  </si>
  <si>
    <t>aaaggaggtgatccagccgcaccttccggtacggctaccttgttacgacttcgtcccaatcgccgatcccaccttcgacagctcccccctaaaaaggttgggccactggcttcgggtgttaccaactttcatgacgtgacgggcggtgtgtacaaggcccgggaacgtattcaccgcagcgttgctgatctgcgattactagcgactccgacttcatggggtcgagttgcagaccccaatccgaactgaggccggctttaagagattagctccacctcacggtgtggcaactcgctgtaccgaccattgtagcatgtgtgaagccctggacataaggggcatgatgatttgacgtcatccccaccttcctccgagttaaccccggcagtctctcatgagtacccaccataatgtgctggcaacataagacaagggttgcgctcgttgcgggacttaacccaacatctcacgacacgagctgacgacaaccatgcaccacctgtgaaccgaccacaagggaaaacgtatctctacgccgatccggtccatgtcaagcccaggtaaggttcttcgcgttgcatcgaattaatccacatgctccgccgcttgtgcgggccccgtcaattcctttgagttttagccttgcggccgtactccccaggcggggcgcttaatgcgttagctgcggcacagaagtcgtggaagacccctacacctagcgcccaccgtttacggcatggactaccagggtatctaatcctgttcgctacccatgctttcgctcctcagcgtcagttactgcccagagacctgccttcgccattggtgttcctcctgatatctgcgcatttcaccgctacaccaggaattccagtctcccctacagcactcaagttatgcccgtatcgcctgcacgcccgaagttaagccccgggatttcacagacgacgcgacaaaccacctacgagctctttacgcccagtaattccggacaacgctcgcaccctacgtattaccgcggctgctggcacgtagttagccggtgcttcttctccaggtaccgtcacctaaaaggcttcgtccctagcgaaaggagtttacaacccgaaggccgtcatcccccacgcggcgtcgctgcatcaggcttgcgcccattgtgcaatattccccactgctgcctcccgtaggagtctgggccgtgtctcagtcccaatgtggccgtacaccctctcaggccggctacccgtcgacgccttggtaggccattaccccaccaacaagctgataggccgcaggctcatcccacaccgcataaagctttccacaccacccctacggtggtgtgaatattcggtattagacccagtttcccaggcttatcccaaagtgtagggcagatcacccacgtgttactcacccgttcgccactcatccaccaaatgcaagcatttggtttcagcgttcgacttgcatgtgttaagcacgccgccagcgttcgtcctgagccaggatcaaactctccacaaa</t>
  </si>
  <si>
    <t>CEY17_RS15040</t>
  </si>
  <si>
    <t>CEY17_RS15045</t>
  </si>
  <si>
    <t>ggtttgttgttatcggtaaattagtaccagtcacctccacacctcacagtgcttccagatctggcctatcaaccccataatctctagggaacctcaaaagaaacctcatctcgaaacaggcttcccgcttagatgctttcagcggttatccctcccgtacgtagccaaccagccctgctcctggcggaacaactggcacaccagaggtacgtccgtcccggtcctctcgtactagggacagccttccttcaagtttcaacgcgcgcggcggatagagaccgaactgtctcacgacgttctaaacccagctcgcgtgccgctttaatgggcgaacagcccaacccttgggacctactccagccccaggatgcgacgagccgacatcgaggtgccaaaccatcccgtcgatatggactcttggggaagatcagcctgttatccccggggtaccttttatccgttgagcgacaccacaaccacaagtaggtgccggatcactagtcccgactttcgtccctgctccacctgtcagtgtcacagtcaagctcccttgtgcacttacactcaccacctgattaccaaccaagctgaggaaacctttgggcgcctccgttacattttaggaggcaaccgccccagttaaactacccaccaggcactgtccccaacccagatcatgggccaaggttaagacatccaatccgatcagagtggtatttcaccaacgactcacacacaactagcgtcatatgatcaaagtctcccacctatcctacacaaaccgaatcaaacaccaataccaagctatagtgaaggtcccggggtcttttcgtcctgccgcgcgtaacgagcatctttactcgtactgcaatttcaccgggcctgtggttgagacagcagggaagtcgttacgccattcgtgcaggtcggaacttacccgacaaggaatttcgctaccttaggatggttatagttaccaccgccgtttactggggcttaaattctcagcttcgcaaccataaaggtcactaaccggtcctcttaaccttccagcaccgggcaggcgtcagtccgtatacatcaacttaaacgtcttcgcacggacctgtgtttttagtaaacagtcgcttccctctattctctgcgaccacaacacgctcccaacgaaaagttgttcacacgccgtggcccccttctcccgaagttacgggggcattttgccgagttccttaaccacagttcacccgaacgccttagtattctctacctgactacctgtgtcggtttagggtacgggccgaatatcaacatcgctagaggcttttctcgacagcacaggatcacccacttcacccttttacgggctccgcatcacgcctcacacaaaaacagtgcggatttgacctacactgcgtgccacacgcttacaccacaatccaataagtggctgagctacctccctgcgtcaccccatcacttagctactaccagatcaggtcccacgcaaccacacaccacaaaaaagcaaagccttttcgcgggtgcttatgggtggttagtatcactgattcaccatggtcgctcatactcgggtacgggaatatcaacccgttatccatcgactacgcctgtcggcctcgccttaggccccgactcaccctgggaagattaacttgacccaggaacccttagtcatccggcggatacgtttctcacgcatcattcgttactcatgcctgcattctcactcgcacacactccacccaaggtcaccccaaagcttcaacgcatgcacgacgctcccctacccaacaatccaaaaggatcattgccgcggcttcggcggtgtacttaagccccactacattgtcggcgcggaatcactcgaccagtgagctattacgcactctttcaaggatggctgcttctaagccaacctcctggctgtcttcgcgaccccacctccttttccacttagcacacccttaggggccttagccggcgatctgggctgtttccctctcgactacgaagcttatcccccgcagtctcactgccgtgctctgacttaccggcattcggagtttggctgatgtcgctaagatgttggtcccgctaaaccatccagtagctctacctccggcaagaaacacacgacgctgcacctaaatgcatttcggggagaaccagctatcacggagtttgattggcctttcacccctacccacaactcatcccctcagttttcaacctaagtgggttcgcgcctccacaacctcttacagctgcttcacactggccatgggtagatcactccgcttcgggtccaagacatgccactcaaaatcaccctcgttaggattcggtttccctacggctaccccacacgggttaacctcgcgacatgccgctgactcgcaggctcattcttcaaaaggcacgccatcacaccacaaacgggtgctctgacggattgacagcacacggtttcaggtactatttcactcccctcccggggtacttttcaccattccctcacggtactaatccgctatcggtcatatcaagtattcaggcttaccgggtggtcccggctaattcacagcagattccacgagcccgctgctactcggggtatcaacaaccacacacaccaccatgatcttcgtgtacaggactctcaccttctacggcaggtgtttccacaccacttccactaaccacgcagcacatgcccacatccggcagaatatgaacgttattgccccacaaccacctacatgcaacccctgccgggtatcacacacataagttttagccatcatccacgttcgctcgccactactaacggaatcacaattgttttcttctcctacgggtactgagatgtttcacttccccgtgtcaacctccacaccagctatacattcactggcaggtaaccacacatcactgcggctgggtttccccattcggacatcctcggatcaacgcttagttggcaactccccgaggcataacgcagcctctcacgtccttcatcggcttgatatgccaaggcatccaccgtgtgccctacaaaacaacaaa</t>
  </si>
  <si>
    <t>CEY17_RS15050</t>
  </si>
  <si>
    <t>aaaggaggtgatccagccgcaccttccggtacggctaccttgttacgacttcgtcccaatcgccgatcccaccttcgacagctccccctaaaaaggttgggccactggcttcgggtgttaccaactttcatgacgtgacgggcggtgtgtacaaggcccgggaacgtattcaccgcagcgttgctgatctgcgattactagcgactccgacttcatggggtcgagttgcagaccccaatccgaactgaggccggctttaagagattagctccacctcacggtgtggcaactcgctgtaccgaccattgtagcatgtgtgaagccctggacataaggggcatgatgatttgacgtcatccccaccttcctccgagttaaccccggcagtctctcatgagtacccaccataatgtgctggcaacataagacaagggttgcgctcgttgcgggacttaacccaacatctcacgacacgagctgacgacaaccatgcaccacctgtgaaccgaccacaagggaaaacgtatctctacgccgatccggtccatgtcaagcccaggtaaggttcttcgcgttgcatcgaattaatccacatgctccgccgcttgtgcgggcccccgtcaattcctttgagttttagccttgcggccgtactccccaggcggggcgcttaatgcgttagctgcggcacagaagtcgtggaagacccctacacctagcgcccaccgtttacggcatggactaccagggtatctaatcctgttcgctacccatgctttcgctcctcagcgtcagttactgcccagagacctgccttcgccattggtgttcctcctgatatctgcgcatttcaccgctacaccaggaattccagtctcccctacagcactcaagttatgcccgtatcgcctgcacgcccgaagttaagccccgggatttcacagacgacgcgacaaaccacctacgagctctttacgcccagtaattccggacaacgctcgcaccctacgtattaccgcggctgctggcacgtagttagccggtgcttcttctccaggtaccgtcacctaaaaggcttcgtccctagcgaaaggagtttacaacccgaaggccgtcatcccccacgcggcgtcgctgcatcaggcttgcgcccattgtgcaatattccccactgctgcctcccgtaggagtctgggccgtgtctcagtcccaatgtggccgtacaccctctcaggccggctacccgtcgacgccttggtaggccattaccccaccaacaagctgataggccgcaggctcatcccacaccgcataaagctttccacaccacccctacggtggtgtgaatattcggtattagacccagtttcccaggcttatcccaaagtgtagggcagatcacccacgtgttactcacccgttcgccactcatccaccaaatgcaagcatttggtttcagcgttcgacttgcatgtgttaagcacgccgccagcgttcgtcctgagccaggatcaaactctccacaaa</t>
  </si>
  <si>
    <t>tRNA</t>
  </si>
  <si>
    <t>CEY17_RS00075</t>
  </si>
  <si>
    <t>tRNA-Ile</t>
  </si>
  <si>
    <t>gggcctatagctcagtcggttagagcgcatcgctgataacgatgaggtcgcaagttcgattcttgctaggcccacca</t>
  </si>
  <si>
    <t>CEY17_RS00080</t>
  </si>
  <si>
    <t>tRNA-Ala</t>
  </si>
  <si>
    <t>ggggcattagctcagttggtagagcacctgctttgcaagcaggatgtcaggagttcgattctcctatgctcca</t>
  </si>
  <si>
    <t>CEY17_RS00145</t>
  </si>
  <si>
    <t>CEY17_RS00205</t>
  </si>
  <si>
    <t>CEY17_RS00210</t>
  </si>
  <si>
    <t>CEY17_RS00330</t>
  </si>
  <si>
    <t>tRNA-Leu</t>
  </si>
  <si>
    <t>gcccgggtggcggaattggcagacgcgctggcttcaggtgccagtgttcgcaaggacgtgggggttcaagtcccccccccggcacca</t>
  </si>
  <si>
    <t>CEY17_RS01230</t>
  </si>
  <si>
    <t>tRNA-Ser</t>
  </si>
  <si>
    <t>ggagacgtgacagagcggccgaatgtactggtcttgaaaaccagcgatgggaaaccatccgagggttcaaatccctccgtctccg</t>
  </si>
  <si>
    <t>CEY17_RS01310</t>
  </si>
  <si>
    <t>ggagacgtgccagagcggccgaatgggactcactgctaatgagttgtcctcttaacgggggaccggaggttcaaatcctctcgtctccg</t>
  </si>
  <si>
    <t>CEY17_RS01315</t>
  </si>
  <si>
    <t>tRNA-Arg</t>
  </si>
  <si>
    <t>gcgcccgtagctcaacggatagagcatctgactacggatcagaaggttgggggttcgaatccctccgggcgca</t>
  </si>
  <si>
    <t>CEY17_RS01330</t>
  </si>
  <si>
    <t>CEY17_RS01355</t>
  </si>
  <si>
    <t>ggtggcgtgtccgagcggccgaaggtgttcgcctcgaaagcgaatgttgggtaatccccaaccgggggttcaaatcccccccccaccgcca</t>
  </si>
  <si>
    <t>CEY17_RS01400</t>
  </si>
  <si>
    <t>cggaggataggggatttgaacccctgagggattgctcccaacccgcgttccaggcgagcgacataggccgctagtcgaatcctcc</t>
  </si>
  <si>
    <t>CEY17_RS01630</t>
  </si>
  <si>
    <t>tRNA-Pro</t>
  </si>
  <si>
    <t>tcgggataacaggattcgaacctgcgaccttaccgtcccgaacggcacgcgctaccaagctgcgccatatcccg</t>
  </si>
  <si>
    <t>CEY17_RS01815</t>
  </si>
  <si>
    <t>tRNA-Thr</t>
  </si>
  <si>
    <t>gccgctttagctcagtcggtagagcgtctcactcgtaatgagaaggtcgcgagttcgattctcgcaagcggct</t>
  </si>
  <si>
    <t>CEY17_RS02680</t>
  </si>
  <si>
    <t>tRNA-Tyr</t>
  </si>
  <si>
    <t>gccagattgcccgagcggccaatgggagcggactgtaaatccgtcggcttgcgcctacgtaggttcgaatcctacatctggca</t>
  </si>
  <si>
    <t>CEY17_RS02685</t>
  </si>
  <si>
    <t>gcccccttagctcagtcggtagagcgtttccatggtaaggaaaaggtcaacagttcgattctgttagggggct</t>
  </si>
  <si>
    <t>CEY17_RS02690</t>
  </si>
  <si>
    <t>CEY17_RS02695</t>
  </si>
  <si>
    <t>tRNA-Met</t>
  </si>
  <si>
    <t>ggcggtgtagctcagtggtagagcaagcgactcataatcgctgtgtcgcgagttcaattctcgccatcgcta</t>
  </si>
  <si>
    <t>CEY17_RS02700</t>
  </si>
  <si>
    <t>tRNA-Trp</t>
  </si>
  <si>
    <t>aggggcgtagctcaattggcagagcaacggtctccaaaaccgtaggttgcaggttcgattcctgtcgcccctg</t>
  </si>
  <si>
    <t>CEY17_RS04245</t>
  </si>
  <si>
    <t>cgcggggtggagcagctcggtagctcgctgggctcataacccagaggtcgtaggttcgaatcctgcccccgcta</t>
  </si>
  <si>
    <t>CEY17_RS04380</t>
  </si>
  <si>
    <t>CEY17_RS04580</t>
  </si>
  <si>
    <t>tgccctggagaggaatcgaacctccgacacccgctttaggagagcggtgctctatccactgagctaccaaggc</t>
  </si>
  <si>
    <t>CEY17_RS05525</t>
  </si>
  <si>
    <t>gcccccatagcccaatcggcagaggcggttgacttaaaatcaatacagtgtgggttcgagtcccactgggggca</t>
  </si>
  <si>
    <t>CEY17_RS06425</t>
  </si>
  <si>
    <t>tgcccccgataggagtcgaacctacgaccttcggtaccggaaaccggtgctctatccactgagctacggaggc</t>
  </si>
  <si>
    <t>CEY17_RS07020</t>
  </si>
  <si>
    <t>tRNA-Gln</t>
  </si>
  <si>
    <t>tggcctatggtgtaattggcaacacaacggtttctggtaccgtcattctaggttcgagtcctggtaggccag</t>
  </si>
  <si>
    <t>CEY17_RS07025</t>
  </si>
  <si>
    <t>tRNA-Glu</t>
  </si>
  <si>
    <t>gccccgttcgtctagcggcctaggacgccggcctctcacgccggtaacacgggttcaaatcccgtacggggta</t>
  </si>
  <si>
    <t>CEY17_RS07030</t>
  </si>
  <si>
    <t>CEY17_RS07035</t>
  </si>
  <si>
    <t>CEY17_RS07040</t>
  </si>
  <si>
    <t>CEY17_RS07290</t>
  </si>
  <si>
    <t>tggtgcccctggtgagactcgaactcacactggacgggttttgaatccgttgcctctgccaattgggctacaagggc</t>
  </si>
  <si>
    <t>CEY17_RS07725</t>
  </si>
  <si>
    <t>tcggactgacaggatttgaacctgcgacccctacacccccagtgtagtgcgctaccaagctgcgccacagtccg</t>
  </si>
  <si>
    <t>CEY17_RS08210</t>
  </si>
  <si>
    <t>gcccgggtggcggaatggcagacgcgctagcttgaggtgctagtgtcctattaacggacgtgggggttcaagtccccccccgggca</t>
  </si>
  <si>
    <t>CEY17_RS08215</t>
  </si>
  <si>
    <t>CEY17_RS08930</t>
  </si>
  <si>
    <t>tRNA-Gly</t>
  </si>
  <si>
    <t>agcggatgacgagactcgaactcgcgaccctcaccttggcaaggtgatgcgctaccaactgcgctacatccgc</t>
  </si>
  <si>
    <t>CEY17_RS08935</t>
  </si>
  <si>
    <t>tRNA-Val</t>
  </si>
  <si>
    <t>tggtgcgcgatactgggattgaaccagtgacctcttccgtgtcagggaagcgctctcccgctgagctaaacgcgc</t>
  </si>
  <si>
    <t>CEY17_RS08940</t>
  </si>
  <si>
    <t>tRNA-Cys</t>
  </si>
  <si>
    <t>aggtggaaacgggaatcgaacccgtgtgcacggttttgcagaccgttgcctcaccactcggccattccacc</t>
  </si>
  <si>
    <t>CEY17_RS08945</t>
  </si>
  <si>
    <t>CEY17_RS08950</t>
  </si>
  <si>
    <t>CEY17_RS08955</t>
  </si>
  <si>
    <t>CEY17_RS08960</t>
  </si>
  <si>
    <t>ggtcctatggctcagtggaagagcgttccgttcacaccggaaaggtcgctggttcgatcccagctaggacca</t>
  </si>
  <si>
    <t>CEY17_RS09935</t>
  </si>
  <si>
    <t>tgccggtggcgagattcgaactcactctgaacgggttttaaatccgttgcctctgccaattgggctacaccggc</t>
  </si>
  <si>
    <t>CEY17_RS11000</t>
  </si>
  <si>
    <t>tgcgccctgacgggctcgaaccgccgacctgctgggtgtaaaccagctgctcttccagctgagctaaaggcgc</t>
  </si>
  <si>
    <t>CEY17_RS11100</t>
  </si>
  <si>
    <t>tggtggggccaccggggctcgaacccgggaccaatggattatgagtccacggctctaaccgactgagctatagcccc</t>
  </si>
  <si>
    <t>CEY17_RS11110</t>
  </si>
  <si>
    <t>tRNA-Asn</t>
  </si>
  <si>
    <t>tcctccatagctcagttggcagagcattcgactgttaatcgaagggtcactggttcgagcccagttggaggag</t>
  </si>
  <si>
    <t>CEY17_RS11115</t>
  </si>
  <si>
    <t>CEY17_RS11845</t>
  </si>
  <si>
    <t>tcggggcgacaggatttgaacctgcgaccccctgctcccaaagcaggtgcgctaccaaactgcgccacgccccg</t>
  </si>
  <si>
    <t>CEY17_RS11865</t>
  </si>
  <si>
    <t>agggaatgacgggaatcgaacccgcgtcatcagcttggaaggctgaggtaatagccattatacgacattccc</t>
  </si>
  <si>
    <t>CEY17_RS12050</t>
  </si>
  <si>
    <t>ctgatcatgcaggattcgaacctgcagccgtccggttaacagccggatgctctgccattgagctaatgatca</t>
  </si>
  <si>
    <t>CEY17_RS12055</t>
  </si>
  <si>
    <t>ctgatcatgcaggattcgaacctgcaaccaacggctttggagaccgccgctctgccaattgagctaatgacca</t>
  </si>
  <si>
    <t>CEY17_RS12245</t>
  </si>
  <si>
    <t>tRNA-Lys</t>
  </si>
  <si>
    <t>tgcctgcaccaggattcgaacctgggacccacagattaaaagtcagttgctctaccactgagctacacaggc</t>
  </si>
  <si>
    <t>CEY17_RS12440</t>
  </si>
  <si>
    <t>gcctccatagctcagtggattagagcaaccggcttctacccggttggtcgcgggttcgaatcctgctgggggca</t>
  </si>
  <si>
    <t>CEY17_RS12450</t>
  </si>
  <si>
    <t>tRNA-His</t>
  </si>
  <si>
    <t>gtggctgtagttcagctggtagagcaccaggttgtgatcctgggtgtcgcgggttcgagccccgtcagccacccca</t>
  </si>
  <si>
    <t>CEY17_RS12575</t>
  </si>
  <si>
    <t>gcgtcattagctcaattggtagagcatctgactcttaatcagagggttcggggttcgattccctgatgacgcacca</t>
  </si>
  <si>
    <t>CEY17_RS12580</t>
  </si>
  <si>
    <t>gcgtcattagctcaattggtagagcatctgactcttaatcagagggttcggggttcgattccctgatgacgca</t>
  </si>
  <si>
    <t>CEY17_RS12750</t>
  </si>
  <si>
    <t>tgcgcctggagagacttgaactctcacgtcctaggacactggaacctaaatccagcgcgtctgccaattccgccacaagcgc</t>
  </si>
  <si>
    <t>CEY17_RS12940</t>
  </si>
  <si>
    <t>tggtggagctaacgggattcgaacccgtgacccccacactgccagtgtggtgcgctaccagctgcgccatagcccc</t>
  </si>
  <si>
    <t>CEY17_RS13085</t>
  </si>
  <si>
    <t>tRNA-Phe</t>
  </si>
  <si>
    <t>tggtggccagagccgggatcgaaccggcgacctttcacttttcaggcgaacgctctaccgactgagctatctggcc</t>
  </si>
  <si>
    <t>CEY17_RS13090</t>
  </si>
  <si>
    <t>tRNA-Asp</t>
  </si>
  <si>
    <t>cgaccctgacgggacttgaacccgcgacctccgccgtgacagggcggcgcgctaaccaactgcgccacagggcc</t>
  </si>
  <si>
    <t>CEY17_RS13105</t>
  </si>
  <si>
    <t>CEY17_RS13110</t>
  </si>
  <si>
    <t>tactcccaacgggattcgaacccgtgtcgctgccgtgaaagggcagtgtcctaggcccctagacgatgggagc</t>
  </si>
  <si>
    <t>CEY17_RS13125</t>
  </si>
  <si>
    <t>tgggcccattgggactcgaacccaagacctgcggattaaaagtccgtagctctaccaactgagctataggccc</t>
  </si>
  <si>
    <t>CEY17_RS13415</t>
  </si>
  <si>
    <t>agctggagaagagacttgaactctcaacctacgcattacaagtgcgttgcgctgccaattgcgccactccagc</t>
  </si>
  <si>
    <t>CEY17_RS14540</t>
  </si>
  <si>
    <t>gccggtgtagttcaatggtagaacccctgcttcccaagcaggcggcgcgggttcgattcccgtcaccggctcca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</si>
</sst>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_ "/>
    <numFmt numFmtId="177" formatCode="0.0000"/>
  </numFmts>
  <fonts count="33">
    <font>
      <sz val="11"/>
      <color theme="1"/>
      <name val="宋体"/>
      <charset val="134"/>
      <scheme val="minor"/>
    </font>
    <font>
      <sz val="12"/>
      <name val="Arial"/>
      <charset val="134"/>
    </font>
    <font>
      <b/>
      <sz val="11"/>
      <color theme="1"/>
      <name val="Arial"/>
      <charset val="134"/>
    </font>
    <font>
      <sz val="11"/>
      <color theme="1"/>
      <name val="Arial"/>
      <charset val="134"/>
    </font>
    <font>
      <sz val="11"/>
      <color rgb="FF000000"/>
      <name val="Arial"/>
      <charset val="134"/>
    </font>
    <font>
      <b/>
      <sz val="16"/>
      <color theme="1"/>
      <name val="Arial"/>
      <charset val="134"/>
    </font>
    <font>
      <sz val="11"/>
      <name val="Arial"/>
      <charset val="134"/>
    </font>
    <font>
      <sz val="10.5"/>
      <color theme="1"/>
      <name val="Helvetica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1"/>
      <name val="宋体"/>
      <charset val="134"/>
    </font>
    <font>
      <i/>
      <sz val="11"/>
      <name val="Arial"/>
      <charset val="134"/>
    </font>
    <font>
      <b/>
      <sz val="11"/>
      <color theme="1"/>
      <name val="宋体"/>
      <charset val="134"/>
    </font>
    <font>
      <b/>
      <i/>
      <sz val="11"/>
      <color theme="1"/>
      <name val="Arial"/>
      <charset val="134"/>
    </font>
    <font>
      <vertAlign val="subscript"/>
      <sz val="11"/>
      <color theme="1"/>
      <name val="Arial"/>
      <charset val="134"/>
    </font>
    <font>
      <b/>
      <vertAlign val="superscript"/>
      <sz val="11"/>
      <color theme="1"/>
      <name val="Arial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3" borderId="7" applyNumberFormat="0" applyAlignment="0" applyProtection="0">
      <alignment vertical="center"/>
    </xf>
    <xf numFmtId="0" fontId="17" fillId="4" borderId="8" applyNumberFormat="0" applyAlignment="0" applyProtection="0">
      <alignment vertical="center"/>
    </xf>
    <xf numFmtId="0" fontId="18" fillId="4" borderId="7" applyNumberFormat="0" applyAlignment="0" applyProtection="0">
      <alignment vertical="center"/>
    </xf>
    <xf numFmtId="0" fontId="19" fillId="5" borderId="9" applyNumberFormat="0" applyAlignment="0" applyProtection="0">
      <alignment vertical="center"/>
    </xf>
    <xf numFmtId="0" fontId="20" fillId="0" borderId="10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6" borderId="0" applyNumberFormat="0" applyBorder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</cellStyleXfs>
  <cellXfs count="4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4" fillId="0" borderId="1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/>
    </xf>
    <xf numFmtId="0" fontId="4" fillId="0" borderId="0" xfId="0" applyFont="1" applyFill="1" applyBorder="1" applyAlignment="1">
      <alignment horizontal="left"/>
    </xf>
    <xf numFmtId="0" fontId="4" fillId="0" borderId="2" xfId="0" applyFont="1" applyFill="1" applyBorder="1" applyAlignment="1">
      <alignment horizontal="left"/>
    </xf>
    <xf numFmtId="0" fontId="2" fillId="0" borderId="0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/>
    </xf>
    <xf numFmtId="0" fontId="2" fillId="0" borderId="2" xfId="0" applyFont="1" applyFill="1" applyBorder="1" applyAlignment="1">
      <alignment horizontal="left"/>
    </xf>
    <xf numFmtId="0" fontId="3" fillId="0" borderId="0" xfId="0" applyFont="1" applyFill="1" applyBorder="1" applyAlignment="1">
      <alignment horizontal="left"/>
    </xf>
    <xf numFmtId="0" fontId="3" fillId="0" borderId="1" xfId="0" applyFont="1" applyFill="1" applyBorder="1" applyAlignment="1">
      <alignment horizontal="left"/>
    </xf>
    <xf numFmtId="0" fontId="2" fillId="0" borderId="0" xfId="0" applyFont="1" applyFill="1" applyAlignment="1"/>
    <xf numFmtId="0" fontId="3" fillId="0" borderId="3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2" xfId="0" applyFont="1" applyFill="1" applyBorder="1" applyAlignment="1">
      <alignment horizontal="left"/>
    </xf>
    <xf numFmtId="0" fontId="3" fillId="0" borderId="2" xfId="0" applyFont="1" applyBorder="1" applyAlignment="1">
      <alignment horizontal="left" vertical="center"/>
    </xf>
    <xf numFmtId="0" fontId="3" fillId="0" borderId="0" xfId="0" applyFont="1" applyFill="1" applyAlignment="1">
      <alignment horizontal="left"/>
    </xf>
    <xf numFmtId="176" fontId="3" fillId="0" borderId="0" xfId="0" applyNumberFormat="1" applyFont="1" applyFill="1" applyAlignment="1">
      <alignment horizontal="left"/>
    </xf>
    <xf numFmtId="0" fontId="2" fillId="0" borderId="0" xfId="0" applyFont="1" applyFill="1" applyAlignment="1">
      <alignment vertical="center"/>
    </xf>
    <xf numFmtId="0" fontId="6" fillId="0" borderId="0" xfId="0" applyFont="1" applyFill="1" applyAlignment="1">
      <alignment horizontal="left"/>
    </xf>
    <xf numFmtId="0" fontId="3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/>
    </xf>
    <xf numFmtId="0" fontId="3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Alignment="1"/>
    <xf numFmtId="177" fontId="6" fillId="0" borderId="0" xfId="0" applyNumberFormat="1" applyFont="1" applyFill="1" applyAlignment="1">
      <alignment horizontal="left" vertical="center"/>
    </xf>
    <xf numFmtId="177" fontId="6" fillId="0" borderId="0" xfId="0" applyNumberFormat="1" applyFont="1" applyFill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4" fillId="0" borderId="0" xfId="0" applyFont="1" applyFill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0" fontId="6" fillId="0" borderId="2" xfId="0" applyFont="1" applyFill="1" applyBorder="1" applyAlignment="1">
      <alignment horizontal="left" vertical="center"/>
    </xf>
    <xf numFmtId="177" fontId="4" fillId="0" borderId="0" xfId="0" applyNumberFormat="1" applyFont="1" applyFill="1" applyBorder="1" applyAlignment="1">
      <alignment horizontal="left" vertical="center"/>
    </xf>
    <xf numFmtId="177" fontId="6" fillId="0" borderId="1" xfId="0" applyNumberFormat="1" applyFont="1" applyFill="1" applyBorder="1" applyAlignment="1">
      <alignment horizontal="left" vertical="center"/>
    </xf>
    <xf numFmtId="177" fontId="4" fillId="0" borderId="1" xfId="0" applyNumberFormat="1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0" fontId="2" fillId="0" borderId="1" xfId="0" applyFont="1" applyFill="1" applyBorder="1" applyAlignment="1">
      <alignment horizontal="left" vertical="center"/>
    </xf>
    <xf numFmtId="0" fontId="3" fillId="0" borderId="1" xfId="0" applyFont="1" applyFill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3" fillId="0" borderId="1" xfId="0" applyFont="1" applyFill="1" applyBorder="1" applyAlignment="1"/>
    <xf numFmtId="0" fontId="3" fillId="0" borderId="0" xfId="0" applyFont="1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modelseed.org/biochem/compounds/cpd1171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41"/>
  <sheetViews>
    <sheetView tabSelected="1" workbookViewId="0">
      <selection activeCell="E17" sqref="E17"/>
    </sheetView>
  </sheetViews>
  <sheetFormatPr defaultColWidth="9" defaultRowHeight="14"/>
  <cols>
    <col min="1" max="1" width="43.0909090909091" style="9" customWidth="1"/>
    <col min="2" max="2" width="28" style="9" customWidth="1"/>
    <col min="3" max="3" width="25.0909090909091" style="9" customWidth="1"/>
    <col min="4" max="4" width="19" style="9" customWidth="1"/>
    <col min="5" max="5" width="17.6363636363636" style="9" customWidth="1"/>
    <col min="6" max="6" width="15.9090909090909" style="9" customWidth="1"/>
    <col min="7" max="7" width="30.7272727272727" style="9" customWidth="1"/>
    <col min="8" max="8" width="16" style="9" customWidth="1"/>
    <col min="9" max="16384" width="9" style="9"/>
  </cols>
  <sheetData>
    <row r="1" spans="1:3">
      <c r="A1" s="10" t="s">
        <v>0</v>
      </c>
      <c r="B1" s="10"/>
    </row>
    <row r="2" ht="20" spans="1:3">
      <c r="A2" s="11"/>
      <c r="B2" s="11"/>
    </row>
    <row r="3" ht="16.5" spans="1:3">
      <c r="A3" s="10" t="s">
        <v>1</v>
      </c>
      <c r="B3" s="10"/>
    </row>
    <row r="4" spans="1:3">
      <c r="A4" s="12" t="s">
        <v>2</v>
      </c>
      <c r="B4" s="12" t="s">
        <v>3</v>
      </c>
    </row>
    <row r="5" spans="1:3">
      <c r="A5" s="13" t="s">
        <v>4</v>
      </c>
      <c r="B5" s="13">
        <v>52</v>
      </c>
    </row>
    <row r="6" spans="1:3">
      <c r="A6" s="13" t="s">
        <v>5</v>
      </c>
      <c r="B6" s="13">
        <v>1</v>
      </c>
    </row>
    <row r="7" spans="1:3">
      <c r="A7" s="13" t="s">
        <v>6</v>
      </c>
      <c r="B7" s="13">
        <v>5</v>
      </c>
    </row>
    <row r="8" spans="1:3">
      <c r="A8" s="13" t="s">
        <v>7</v>
      </c>
      <c r="B8" s="13">
        <v>13</v>
      </c>
    </row>
    <row r="9" spans="1:3">
      <c r="A9" s="13" t="s">
        <v>8</v>
      </c>
      <c r="B9" s="13">
        <v>19</v>
      </c>
    </row>
    <row r="10" spans="1:3">
      <c r="A10" s="13" t="s">
        <v>9</v>
      </c>
      <c r="B10" s="13">
        <v>0.093</v>
      </c>
    </row>
    <row r="11" spans="1:3">
      <c r="A11" s="13" t="s">
        <v>10</v>
      </c>
      <c r="B11" s="13">
        <v>9.917</v>
      </c>
    </row>
    <row r="12" spans="1:3">
      <c r="A12" s="14" t="s">
        <v>11</v>
      </c>
      <c r="B12" s="14">
        <v>100</v>
      </c>
    </row>
    <row r="13" s="2" customFormat="1" ht="16.5" spans="1:3">
      <c r="A13" s="15" t="s">
        <v>12</v>
      </c>
      <c r="B13" s="10" t="s">
        <v>13</v>
      </c>
    </row>
    <row r="14" customFormat="1" spans="1:3">
      <c r="A14" s="9"/>
      <c r="B14" s="9"/>
      <c r="C14" s="9"/>
    </row>
    <row r="15" customFormat="1" ht="16.5" spans="1:3">
      <c r="A15" s="2" t="s">
        <v>14</v>
      </c>
      <c r="B15" s="9"/>
      <c r="C15" s="9"/>
    </row>
    <row r="16" ht="17.5" spans="1:3">
      <c r="A16" s="16" t="s">
        <v>15</v>
      </c>
      <c r="B16" s="16"/>
      <c r="C16" s="16" t="s">
        <v>16</v>
      </c>
    </row>
    <row r="17" ht="17.5" spans="1:3">
      <c r="A17" s="17" t="s">
        <v>17</v>
      </c>
      <c r="B17" s="17" t="s">
        <v>18</v>
      </c>
      <c r="C17" s="17" t="s">
        <v>19</v>
      </c>
    </row>
    <row r="18" spans="1:3">
      <c r="A18" s="10"/>
      <c r="B18" s="10"/>
    </row>
    <row r="19" ht="16.5" spans="1:3">
      <c r="A19" s="10" t="s">
        <v>20</v>
      </c>
      <c r="B19" s="10"/>
    </row>
    <row r="20" spans="1:3">
      <c r="A20" s="18" t="s">
        <v>21</v>
      </c>
      <c r="B20" s="18" t="s">
        <v>22</v>
      </c>
      <c r="C20" s="19" t="s">
        <v>23</v>
      </c>
    </row>
    <row r="21" spans="1:3">
      <c r="A21" s="20" t="s">
        <v>24</v>
      </c>
      <c r="B21" s="20">
        <v>1.268</v>
      </c>
      <c r="C21" s="20" t="s">
        <v>25</v>
      </c>
    </row>
    <row r="22" spans="1:3">
      <c r="A22" s="20" t="s">
        <v>26</v>
      </c>
      <c r="B22" s="20">
        <v>0.361</v>
      </c>
      <c r="C22" s="20" t="s">
        <v>27</v>
      </c>
    </row>
    <row r="23" spans="1:3">
      <c r="A23" s="20" t="s">
        <v>28</v>
      </c>
      <c r="B23" s="20">
        <v>0.368</v>
      </c>
      <c r="C23" s="20" t="s">
        <v>29</v>
      </c>
    </row>
    <row r="24" spans="1:3">
      <c r="A24" s="20" t="s">
        <v>30</v>
      </c>
      <c r="B24" s="20">
        <v>0.368</v>
      </c>
      <c r="C24" s="20" t="s">
        <v>31</v>
      </c>
    </row>
    <row r="25" spans="1:3">
      <c r="A25" s="20" t="s">
        <v>32</v>
      </c>
      <c r="B25" s="20">
        <v>0.084</v>
      </c>
      <c r="C25" s="20" t="s">
        <v>33</v>
      </c>
    </row>
    <row r="26" spans="1:3">
      <c r="A26" s="20" t="s">
        <v>34</v>
      </c>
      <c r="B26" s="20">
        <v>1.044</v>
      </c>
      <c r="C26" s="20" t="s">
        <v>35</v>
      </c>
    </row>
    <row r="27" spans="1:3">
      <c r="A27" s="20" t="s">
        <v>36</v>
      </c>
      <c r="B27" s="21">
        <v>0.65</v>
      </c>
      <c r="C27" s="20" t="s">
        <v>37</v>
      </c>
    </row>
    <row r="28" spans="1:3">
      <c r="A28" s="20" t="s">
        <v>38</v>
      </c>
      <c r="B28" s="20">
        <v>0.671</v>
      </c>
      <c r="C28" s="20" t="s">
        <v>39</v>
      </c>
    </row>
    <row r="29" spans="1:3">
      <c r="A29" s="20" t="s">
        <v>40</v>
      </c>
      <c r="B29" s="20">
        <v>0.128</v>
      </c>
      <c r="C29" s="20" t="s">
        <v>41</v>
      </c>
    </row>
    <row r="30" spans="1:3">
      <c r="A30" s="20" t="s">
        <v>42</v>
      </c>
      <c r="B30" s="20">
        <v>0.359</v>
      </c>
      <c r="C30" s="20" t="s">
        <v>43</v>
      </c>
    </row>
    <row r="31" spans="1:3">
      <c r="A31" s="20" t="s">
        <v>44</v>
      </c>
      <c r="B31" s="20">
        <v>0.669</v>
      </c>
      <c r="C31" s="20" t="s">
        <v>45</v>
      </c>
    </row>
    <row r="32" spans="1:3">
      <c r="A32" s="20" t="s">
        <v>46</v>
      </c>
      <c r="B32" s="20">
        <v>0.355</v>
      </c>
      <c r="C32" s="20" t="s">
        <v>47</v>
      </c>
    </row>
    <row r="33" spans="1:8">
      <c r="A33" s="20" t="s">
        <v>48</v>
      </c>
      <c r="B33" s="20">
        <v>0.144</v>
      </c>
      <c r="C33" s="20" t="s">
        <v>49</v>
      </c>
    </row>
    <row r="34" spans="1:8">
      <c r="A34" s="20" t="s">
        <v>50</v>
      </c>
      <c r="B34" s="20">
        <v>0.244</v>
      </c>
      <c r="C34" s="20" t="s">
        <v>51</v>
      </c>
    </row>
    <row r="35" spans="1:8">
      <c r="A35" s="20" t="s">
        <v>52</v>
      </c>
      <c r="B35" s="20">
        <v>0.303</v>
      </c>
      <c r="C35" s="20" t="s">
        <v>53</v>
      </c>
    </row>
    <row r="36" spans="1:8">
      <c r="A36" s="20" t="s">
        <v>54</v>
      </c>
      <c r="B36" s="20">
        <v>0.467</v>
      </c>
      <c r="C36" s="20" t="s">
        <v>55</v>
      </c>
    </row>
    <row r="37" spans="1:8">
      <c r="A37" s="20" t="s">
        <v>56</v>
      </c>
      <c r="B37" s="20">
        <v>0.519</v>
      </c>
      <c r="C37" s="20" t="s">
        <v>57</v>
      </c>
    </row>
    <row r="38" spans="1:8">
      <c r="A38" s="20" t="s">
        <v>58</v>
      </c>
      <c r="B38" s="20">
        <v>0.052</v>
      </c>
      <c r="C38" s="20" t="s">
        <v>59</v>
      </c>
    </row>
    <row r="39" spans="1:8">
      <c r="A39" s="20" t="s">
        <v>60</v>
      </c>
      <c r="B39" s="20">
        <v>0.148</v>
      </c>
      <c r="C39" s="20" t="s">
        <v>61</v>
      </c>
    </row>
    <row r="40" spans="1:8">
      <c r="A40" s="20" t="s">
        <v>62</v>
      </c>
      <c r="B40" s="20">
        <v>0.52</v>
      </c>
      <c r="C40" s="20" t="s">
        <v>63</v>
      </c>
    </row>
    <row r="41" spans="1:8">
      <c r="A41" s="14" t="s">
        <v>64</v>
      </c>
      <c r="B41" s="14">
        <v>38.44</v>
      </c>
      <c r="C41" s="17" t="s">
        <v>65</v>
      </c>
    </row>
    <row r="42" s="2" customFormat="1" spans="1:8">
      <c r="A42" s="2" t="s">
        <v>66</v>
      </c>
      <c r="B42" s="15" t="s">
        <v>67</v>
      </c>
    </row>
    <row r="45" spans="1:8">
      <c r="A45" s="22" t="s">
        <v>68</v>
      </c>
      <c r="B45" s="23" t="s">
        <v>69</v>
      </c>
      <c r="D45" s="23"/>
      <c r="E45" s="20"/>
      <c r="F45" s="20"/>
      <c r="G45" s="20"/>
      <c r="H45" s="20"/>
    </row>
    <row r="46" spans="1:8">
      <c r="A46" s="24" t="s">
        <v>70</v>
      </c>
      <c r="B46" s="24">
        <v>54.14</v>
      </c>
      <c r="C46" s="25"/>
      <c r="D46" s="25"/>
      <c r="E46" s="25"/>
      <c r="F46" s="19" t="s">
        <v>23</v>
      </c>
      <c r="G46" s="13"/>
      <c r="H46" s="13"/>
    </row>
    <row r="47" spans="1:8">
      <c r="A47" s="20" t="s">
        <v>5</v>
      </c>
      <c r="B47" s="26" t="s">
        <v>71</v>
      </c>
      <c r="C47" s="27" t="s">
        <v>72</v>
      </c>
      <c r="D47" s="26" t="s">
        <v>73</v>
      </c>
      <c r="E47" s="26" t="s">
        <v>74</v>
      </c>
      <c r="F47" s="3" t="s">
        <v>75</v>
      </c>
      <c r="G47" s="28" t="s">
        <v>76</v>
      </c>
      <c r="H47" s="28"/>
    </row>
    <row r="48" spans="1:8">
      <c r="A48" s="20" t="s">
        <v>77</v>
      </c>
      <c r="B48" s="20">
        <v>0.2293</v>
      </c>
      <c r="C48" s="26">
        <v>331.2</v>
      </c>
      <c r="D48" s="20">
        <f>((1-0.5414)*C48+0.5414*C49+0.5414*C50+(1-0.5414)*C51)/2</f>
        <v>326.9707</v>
      </c>
      <c r="E48" s="20">
        <f>B48/D48*1000</f>
        <v>0.701286078538536</v>
      </c>
      <c r="F48" s="29" t="s">
        <v>78</v>
      </c>
      <c r="G48" s="13" t="s">
        <v>79</v>
      </c>
      <c r="H48" s="13"/>
    </row>
    <row r="49" spans="1:13">
      <c r="A49" s="20" t="s">
        <v>80</v>
      </c>
      <c r="B49" s="20">
        <v>0.2707</v>
      </c>
      <c r="C49" s="30">
        <v>307.2</v>
      </c>
      <c r="D49" s="20">
        <v>326.9707</v>
      </c>
      <c r="E49" s="20">
        <f>B49/D49*1000</f>
        <v>0.827902928305197</v>
      </c>
      <c r="F49" s="29" t="s">
        <v>81</v>
      </c>
      <c r="G49" s="13" t="s">
        <v>82</v>
      </c>
      <c r="H49" s="13"/>
    </row>
    <row r="50" spans="1:13">
      <c r="A50" s="20" t="s">
        <v>83</v>
      </c>
      <c r="B50" s="20">
        <v>0.2707</v>
      </c>
      <c r="C50" s="30">
        <v>347.2</v>
      </c>
      <c r="D50" s="20">
        <v>326.9707</v>
      </c>
      <c r="E50" s="20">
        <f>B50/D50*1000</f>
        <v>0.827902928305197</v>
      </c>
      <c r="F50" s="29" t="s">
        <v>84</v>
      </c>
      <c r="G50" s="13" t="s">
        <v>85</v>
      </c>
      <c r="H50" s="13"/>
    </row>
    <row r="51" s="3" customFormat="1" spans="1:13">
      <c r="A51" s="13" t="s">
        <v>86</v>
      </c>
      <c r="B51" s="13">
        <v>0.2293</v>
      </c>
      <c r="C51" s="31">
        <v>322.2</v>
      </c>
      <c r="D51" s="13">
        <v>326.9707</v>
      </c>
      <c r="E51" s="13">
        <f>B51/D51*1000</f>
        <v>0.701286078538536</v>
      </c>
      <c r="F51" s="29" t="s">
        <v>87</v>
      </c>
      <c r="G51" s="13" t="s">
        <v>88</v>
      </c>
      <c r="H51" s="13"/>
    </row>
    <row r="52" s="4" customFormat="1" spans="1:13">
      <c r="A52" s="4" t="s">
        <v>89</v>
      </c>
      <c r="B52" s="4">
        <v>4.44</v>
      </c>
      <c r="G52" s="17" t="s">
        <v>65</v>
      </c>
      <c r="H52" s="32"/>
      <c r="I52" s="32"/>
      <c r="J52" s="32"/>
      <c r="K52" s="32"/>
      <c r="L52" s="32"/>
      <c r="M52" s="32"/>
    </row>
    <row r="53" s="2" customFormat="1" spans="1:13">
      <c r="A53" s="2" t="s">
        <v>90</v>
      </c>
      <c r="B53" s="10" t="s">
        <v>91</v>
      </c>
      <c r="K53" s="8"/>
      <c r="L53" s="8"/>
      <c r="M53" s="8"/>
    </row>
    <row r="54" s="5" customFormat="1" spans="1:13">
      <c r="A54" s="10"/>
      <c r="B54" s="10"/>
      <c r="C54" s="27"/>
      <c r="D54" s="27"/>
      <c r="E54" s="33"/>
      <c r="F54" s="33"/>
      <c r="G54" s="33"/>
      <c r="H54" s="33"/>
      <c r="K54" s="6"/>
      <c r="L54" s="6"/>
      <c r="M54" s="6"/>
    </row>
    <row r="55" s="5" customFormat="1" spans="1:13">
      <c r="A55" s="10"/>
      <c r="B55" s="10"/>
      <c r="C55" s="27"/>
      <c r="D55" s="27"/>
      <c r="E55" s="33"/>
      <c r="F55" s="33"/>
      <c r="G55" s="33"/>
      <c r="H55" s="33"/>
      <c r="K55" s="6"/>
      <c r="L55" s="6"/>
      <c r="M55" s="6"/>
    </row>
    <row r="56" s="6" customFormat="1" spans="1:13">
      <c r="A56" s="22" t="s">
        <v>92</v>
      </c>
      <c r="B56" s="23" t="s">
        <v>93</v>
      </c>
      <c r="C56" s="34"/>
      <c r="D56" s="34"/>
      <c r="E56" s="32"/>
      <c r="F56" s="32"/>
      <c r="G56" s="32"/>
      <c r="H56" s="32"/>
    </row>
    <row r="57" s="7" customFormat="1" spans="1:13">
      <c r="A57" s="35"/>
      <c r="B57" s="35" t="s">
        <v>94</v>
      </c>
      <c r="C57" s="36" t="s">
        <v>95</v>
      </c>
      <c r="D57" s="36" t="s">
        <v>96</v>
      </c>
      <c r="E57" s="35"/>
      <c r="F57" s="35"/>
      <c r="G57" s="35"/>
      <c r="H57" s="35"/>
      <c r="I57" s="19" t="s">
        <v>23</v>
      </c>
      <c r="J57" s="6"/>
      <c r="K57" s="6"/>
      <c r="L57" s="6"/>
      <c r="M57" s="6"/>
    </row>
    <row r="58" s="6" customFormat="1" spans="1:13">
      <c r="A58" s="32" t="s">
        <v>97</v>
      </c>
      <c r="B58" s="32" t="s">
        <v>98</v>
      </c>
      <c r="C58" s="34" t="s">
        <v>99</v>
      </c>
      <c r="D58" s="34" t="s">
        <v>100</v>
      </c>
      <c r="E58" s="32" t="s">
        <v>101</v>
      </c>
      <c r="F58" s="32" t="s">
        <v>72</v>
      </c>
      <c r="G58" s="26" t="s">
        <v>102</v>
      </c>
      <c r="H58" s="32" t="s">
        <v>103</v>
      </c>
      <c r="I58" s="6" t="s">
        <v>104</v>
      </c>
      <c r="J58" s="6" t="s">
        <v>105</v>
      </c>
    </row>
    <row r="59" s="6" customFormat="1" spans="1:13">
      <c r="A59" s="32" t="s">
        <v>106</v>
      </c>
      <c r="B59" s="20">
        <v>0.2293</v>
      </c>
      <c r="C59" s="31">
        <v>0.257</v>
      </c>
      <c r="D59" s="31">
        <v>0.23</v>
      </c>
      <c r="E59" s="37">
        <f>0.05*B59+0.75*C59+0.2*D59</f>
        <v>0.250215</v>
      </c>
      <c r="F59" s="37">
        <v>347.2</v>
      </c>
      <c r="G59" s="37">
        <f>F59*E59+F60*E60+F61*E61+F62*E62</f>
        <v>341.569025</v>
      </c>
      <c r="H59" s="37">
        <f>E59/G59*1000</f>
        <v>0.73254593269984</v>
      </c>
      <c r="I59" s="29" t="s">
        <v>107</v>
      </c>
      <c r="J59" s="29" t="s">
        <v>65</v>
      </c>
    </row>
    <row r="60" s="6" customFormat="1" spans="1:13">
      <c r="A60" s="32" t="s">
        <v>108</v>
      </c>
      <c r="B60" s="20">
        <v>0.2707</v>
      </c>
      <c r="C60" s="31">
        <v>0.26</v>
      </c>
      <c r="D60" s="31">
        <v>0.203</v>
      </c>
      <c r="E60" s="37">
        <f>0.05*B60+0.75*C60+0.2*D60</f>
        <v>0.249135</v>
      </c>
      <c r="F60" s="37">
        <v>323.2</v>
      </c>
      <c r="G60" s="37">
        <v>341.569025</v>
      </c>
      <c r="H60" s="37">
        <f>E60/G60*1000</f>
        <v>0.7293840534867</v>
      </c>
      <c r="I60" s="29" t="s">
        <v>109</v>
      </c>
      <c r="J60" s="29" t="s">
        <v>110</v>
      </c>
    </row>
    <row r="61" s="6" customFormat="1" spans="1:13">
      <c r="A61" s="32" t="s">
        <v>111</v>
      </c>
      <c r="B61" s="20">
        <v>0.2707</v>
      </c>
      <c r="C61" s="31">
        <v>0.303</v>
      </c>
      <c r="D61" s="31">
        <v>0.317</v>
      </c>
      <c r="E61" s="37">
        <f>0.05*B61+0.75*C61+0.2*D61</f>
        <v>0.304185</v>
      </c>
      <c r="F61" s="37">
        <v>363.2</v>
      </c>
      <c r="G61" s="37">
        <v>341.569025</v>
      </c>
      <c r="H61" s="37">
        <f>E61/G61*1000</f>
        <v>0.890552063378698</v>
      </c>
      <c r="I61" s="29" t="s">
        <v>112</v>
      </c>
      <c r="J61" s="29" t="s">
        <v>113</v>
      </c>
    </row>
    <row r="62" s="6" customFormat="1" spans="1:13">
      <c r="A62" s="32" t="s">
        <v>114</v>
      </c>
      <c r="B62" s="13">
        <v>0.2293</v>
      </c>
      <c r="C62" s="31">
        <v>0.18</v>
      </c>
      <c r="D62" s="31">
        <v>0.25</v>
      </c>
      <c r="E62" s="37">
        <f>0.05*B62+0.75*C62+0.2*D62</f>
        <v>0.196465</v>
      </c>
      <c r="F62" s="37">
        <v>324.2</v>
      </c>
      <c r="G62" s="37">
        <v>341.569025</v>
      </c>
      <c r="H62" s="37">
        <f>E62/G62*1000</f>
        <v>0.575183888527363</v>
      </c>
      <c r="I62" s="29" t="s">
        <v>115</v>
      </c>
      <c r="J62" s="29" t="s">
        <v>116</v>
      </c>
    </row>
    <row r="63" s="6" customFormat="1" spans="1:13">
      <c r="A63" s="4" t="s">
        <v>89</v>
      </c>
      <c r="B63" s="14">
        <v>1.24</v>
      </c>
      <c r="C63" s="17" t="s">
        <v>65</v>
      </c>
      <c r="D63" s="38"/>
      <c r="E63" s="39"/>
      <c r="F63" s="39"/>
      <c r="G63" s="39"/>
      <c r="H63" s="39"/>
    </row>
    <row r="64" s="2" customFormat="1" spans="1:13">
      <c r="A64" s="2" t="s">
        <v>117</v>
      </c>
      <c r="B64" s="10" t="s">
        <v>118</v>
      </c>
    </row>
    <row r="67" s="3" customFormat="1" ht="16.5" spans="1:3">
      <c r="A67" s="40" t="s">
        <v>119</v>
      </c>
      <c r="B67" s="40"/>
    </row>
    <row r="68" s="3" customFormat="1" spans="1:3">
      <c r="A68" s="19" t="s">
        <v>120</v>
      </c>
      <c r="B68" s="19" t="s">
        <v>121</v>
      </c>
      <c r="C68" s="19" t="s">
        <v>23</v>
      </c>
    </row>
    <row r="69" s="3" customFormat="1" spans="1:3">
      <c r="A69" s="9" t="s">
        <v>122</v>
      </c>
      <c r="B69" s="9">
        <v>0.061</v>
      </c>
      <c r="C69" s="9" t="s">
        <v>123</v>
      </c>
    </row>
    <row r="70" s="3" customFormat="1" spans="1:3">
      <c r="A70" s="9" t="s">
        <v>124</v>
      </c>
      <c r="B70" s="9">
        <v>0.043</v>
      </c>
      <c r="C70" s="9" t="s">
        <v>125</v>
      </c>
    </row>
    <row r="71" s="3" customFormat="1" spans="1:3">
      <c r="A71" s="17" t="s">
        <v>126</v>
      </c>
      <c r="B71" s="17">
        <v>1.875</v>
      </c>
      <c r="C71" s="17" t="s">
        <v>127</v>
      </c>
    </row>
    <row r="72" s="3" customFormat="1" spans="1:3">
      <c r="A72" s="9"/>
      <c r="B72" s="9"/>
      <c r="C72" s="9"/>
    </row>
    <row r="73" s="3" customFormat="1" spans="1:3">
      <c r="A73" s="19" t="s">
        <v>128</v>
      </c>
      <c r="B73" s="19" t="s">
        <v>129</v>
      </c>
      <c r="C73" s="19" t="s">
        <v>23</v>
      </c>
    </row>
    <row r="74" s="3" customFormat="1" spans="1:3">
      <c r="A74" s="9" t="s">
        <v>130</v>
      </c>
      <c r="B74" s="9">
        <v>0.007</v>
      </c>
      <c r="C74" s="9" t="s">
        <v>131</v>
      </c>
    </row>
    <row r="75" s="3" customFormat="1" spans="1:3">
      <c r="A75" s="9" t="s">
        <v>132</v>
      </c>
      <c r="B75" s="9">
        <v>0.033</v>
      </c>
      <c r="C75" s="9" t="s">
        <v>133</v>
      </c>
    </row>
    <row r="76" s="3" customFormat="1" spans="1:3">
      <c r="A76" s="9" t="s">
        <v>134</v>
      </c>
      <c r="B76" s="9">
        <v>1.133</v>
      </c>
      <c r="C76" s="9" t="s">
        <v>135</v>
      </c>
    </row>
    <row r="77" s="3" customFormat="1" spans="1:3">
      <c r="A77" s="9" t="s">
        <v>136</v>
      </c>
      <c r="B77" s="9">
        <v>0.042</v>
      </c>
      <c r="C77" s="9" t="s">
        <v>137</v>
      </c>
    </row>
    <row r="78" s="3" customFormat="1" spans="1:3">
      <c r="A78" s="17" t="s">
        <v>138</v>
      </c>
      <c r="B78" s="17">
        <v>0.065</v>
      </c>
      <c r="C78" s="17" t="s">
        <v>139</v>
      </c>
    </row>
    <row r="79" s="8" customFormat="1" spans="1:3">
      <c r="A79" s="2" t="s">
        <v>140</v>
      </c>
      <c r="B79" s="10" t="s">
        <v>141</v>
      </c>
      <c r="C79" s="2"/>
    </row>
    <row r="80" s="2" customFormat="1" spans="1:3">
      <c r="A80" s="2" t="s">
        <v>142</v>
      </c>
      <c r="B80" s="10" t="s">
        <v>143</v>
      </c>
    </row>
    <row r="81" s="2" customFormat="1" spans="1:3">
      <c r="A81" s="10" t="s">
        <v>144</v>
      </c>
      <c r="B81" s="10" t="s">
        <v>145</v>
      </c>
    </row>
    <row r="82" spans="1:3">
      <c r="A82" s="10"/>
      <c r="B82" s="10"/>
    </row>
    <row r="83" spans="1:3">
      <c r="A83" s="10"/>
      <c r="B83" s="10"/>
    </row>
    <row r="84" ht="16.5" spans="1:3">
      <c r="A84" s="10" t="s">
        <v>146</v>
      </c>
      <c r="B84" s="10"/>
    </row>
    <row r="85" spans="1:3">
      <c r="A85" s="19" t="s">
        <v>147</v>
      </c>
      <c r="B85" s="19" t="s">
        <v>148</v>
      </c>
      <c r="C85" s="19" t="s">
        <v>23</v>
      </c>
    </row>
    <row r="86" spans="1:3">
      <c r="A86" s="9" t="s">
        <v>149</v>
      </c>
      <c r="B86" s="9">
        <v>1.026</v>
      </c>
      <c r="C86" s="29" t="s">
        <v>150</v>
      </c>
    </row>
    <row r="87" spans="1:3">
      <c r="A87" s="9" t="s">
        <v>151</v>
      </c>
      <c r="B87" s="9">
        <v>1.026</v>
      </c>
      <c r="C87" s="9" t="s">
        <v>152</v>
      </c>
    </row>
    <row r="88" spans="1:3">
      <c r="A88" s="9" t="s">
        <v>153</v>
      </c>
      <c r="B88" s="9">
        <v>1.026</v>
      </c>
      <c r="C88" s="9" t="s">
        <v>25</v>
      </c>
    </row>
    <row r="89" spans="1:3">
      <c r="A89" s="9" t="s">
        <v>154</v>
      </c>
      <c r="B89" s="9">
        <v>1.026</v>
      </c>
      <c r="C89" s="9" t="s">
        <v>155</v>
      </c>
    </row>
    <row r="90" spans="1:3">
      <c r="A90" s="9" t="s">
        <v>156</v>
      </c>
      <c r="B90" s="9">
        <v>1.026</v>
      </c>
      <c r="C90" s="9" t="s">
        <v>157</v>
      </c>
    </row>
    <row r="91" spans="1:3">
      <c r="A91" s="9" t="s">
        <v>158</v>
      </c>
      <c r="B91" s="9">
        <v>2.052</v>
      </c>
      <c r="C91" s="9" t="s">
        <v>159</v>
      </c>
    </row>
    <row r="92" s="9" customFormat="1" spans="1:3">
      <c r="A92" s="17" t="s">
        <v>64</v>
      </c>
      <c r="B92" s="17">
        <v>5.129</v>
      </c>
      <c r="C92" s="17" t="s">
        <v>65</v>
      </c>
    </row>
    <row r="93" spans="1:3">
      <c r="A93" s="17" t="s">
        <v>160</v>
      </c>
      <c r="B93" s="17" t="s">
        <v>161</v>
      </c>
      <c r="C93" s="19" t="s">
        <v>23</v>
      </c>
    </row>
    <row r="94" spans="1:3">
      <c r="A94" s="9" t="s">
        <v>162</v>
      </c>
      <c r="B94" s="9">
        <v>4.65</v>
      </c>
      <c r="C94" s="9" t="s">
        <v>163</v>
      </c>
    </row>
    <row r="95" spans="1:3">
      <c r="A95" s="17" t="s">
        <v>164</v>
      </c>
      <c r="B95" s="17">
        <v>0.498</v>
      </c>
      <c r="C95" s="17" t="s">
        <v>165</v>
      </c>
    </row>
    <row r="96" s="2" customFormat="1" spans="1:3">
      <c r="A96" s="2" t="s">
        <v>166</v>
      </c>
      <c r="B96" s="10" t="s">
        <v>167</v>
      </c>
    </row>
    <row r="97" s="2" customFormat="1" spans="1:4">
      <c r="A97" s="2" t="s">
        <v>168</v>
      </c>
      <c r="B97" s="10" t="s">
        <v>169</v>
      </c>
    </row>
    <row r="98" s="2" customFormat="1" spans="1:4">
      <c r="A98" s="10" t="s">
        <v>170</v>
      </c>
      <c r="B98" s="10" t="s">
        <v>171</v>
      </c>
    </row>
    <row r="99" spans="1:4">
      <c r="A99" s="10"/>
      <c r="B99" s="29"/>
      <c r="C99" s="29"/>
      <c r="D99" s="29"/>
    </row>
    <row r="100" spans="1:4">
      <c r="A100" s="10"/>
      <c r="B100" s="10"/>
    </row>
    <row r="101" ht="16.5" spans="1:4">
      <c r="A101" s="41" t="s">
        <v>172</v>
      </c>
      <c r="B101" s="41"/>
      <c r="C101" s="17"/>
    </row>
    <row r="102" spans="1:4">
      <c r="A102" s="17"/>
      <c r="B102" s="42" t="s">
        <v>173</v>
      </c>
      <c r="C102" s="19" t="s">
        <v>23</v>
      </c>
    </row>
    <row r="103" spans="1:4">
      <c r="A103" s="20" t="s">
        <v>174</v>
      </c>
      <c r="B103" s="9">
        <v>0.12386</v>
      </c>
      <c r="C103" s="9" t="s">
        <v>175</v>
      </c>
    </row>
    <row r="104" spans="1:4">
      <c r="A104" s="20" t="s">
        <v>176</v>
      </c>
      <c r="B104" s="9">
        <v>0.099086</v>
      </c>
      <c r="C104" s="9" t="s">
        <v>177</v>
      </c>
    </row>
    <row r="105" spans="1:4">
      <c r="A105" s="43" t="s">
        <v>178</v>
      </c>
      <c r="B105" s="9">
        <v>0.000887</v>
      </c>
      <c r="C105" s="9" t="s">
        <v>179</v>
      </c>
    </row>
    <row r="106" spans="1:4">
      <c r="A106" s="20" t="s">
        <v>180</v>
      </c>
      <c r="B106" s="9">
        <v>0.099086</v>
      </c>
      <c r="C106" s="9" t="s">
        <v>181</v>
      </c>
    </row>
    <row r="107" spans="1:4">
      <c r="A107" s="20" t="s">
        <v>182</v>
      </c>
      <c r="B107" s="9">
        <v>0.074314</v>
      </c>
      <c r="C107" s="9" t="s">
        <v>183</v>
      </c>
    </row>
    <row r="108" spans="1:4">
      <c r="A108" s="20" t="s">
        <v>184</v>
      </c>
      <c r="B108" s="9">
        <v>0.013872</v>
      </c>
      <c r="C108" s="9" t="s">
        <v>185</v>
      </c>
    </row>
    <row r="109" spans="1:4">
      <c r="A109" s="20" t="s">
        <v>186</v>
      </c>
      <c r="B109" s="9">
        <v>0.79269</v>
      </c>
      <c r="C109" s="9" t="s">
        <v>187</v>
      </c>
    </row>
    <row r="110" spans="1:4">
      <c r="A110" s="20" t="s">
        <v>188</v>
      </c>
      <c r="B110" s="9">
        <v>0.019817</v>
      </c>
      <c r="C110" s="9" t="s">
        <v>189</v>
      </c>
    </row>
    <row r="111" spans="1:4">
      <c r="A111" s="20" t="s">
        <v>190</v>
      </c>
      <c r="B111" s="9">
        <v>0.049543</v>
      </c>
      <c r="C111" s="9" t="s">
        <v>191</v>
      </c>
    </row>
    <row r="112" spans="1:4">
      <c r="A112" s="20" t="s">
        <v>192</v>
      </c>
      <c r="B112" s="9">
        <v>0.14863</v>
      </c>
      <c r="C112" s="9" t="s">
        <v>193</v>
      </c>
    </row>
    <row r="113" spans="1:3">
      <c r="A113" s="20" t="s">
        <v>194</v>
      </c>
      <c r="B113" s="9">
        <v>0.099086</v>
      </c>
      <c r="C113" s="9" t="s">
        <v>195</v>
      </c>
    </row>
    <row r="114" spans="1:3">
      <c r="A114" s="20" t="s">
        <v>196</v>
      </c>
      <c r="B114" s="9">
        <v>0.043598</v>
      </c>
      <c r="C114" s="9" t="s">
        <v>197</v>
      </c>
    </row>
    <row r="115" spans="1:3">
      <c r="A115" s="14" t="s">
        <v>198</v>
      </c>
      <c r="B115" s="17">
        <v>0.024558</v>
      </c>
      <c r="C115" s="17" t="s">
        <v>199</v>
      </c>
    </row>
    <row r="116" s="2" customFormat="1" spans="1:3">
      <c r="A116" s="2" t="s">
        <v>200</v>
      </c>
      <c r="B116" s="15" t="s">
        <v>201</v>
      </c>
    </row>
    <row r="119" ht="16.5" spans="1:3">
      <c r="A119" s="2" t="s">
        <v>202</v>
      </c>
    </row>
    <row r="120" spans="1:3">
      <c r="A120" s="19"/>
      <c r="B120" s="24" t="s">
        <v>203</v>
      </c>
      <c r="C120" s="19" t="s">
        <v>23</v>
      </c>
    </row>
    <row r="121" spans="1:3">
      <c r="A121" s="29" t="s">
        <v>204</v>
      </c>
      <c r="B121" s="9">
        <v>0.54282</v>
      </c>
      <c r="C121" s="9" t="s">
        <v>205</v>
      </c>
    </row>
    <row r="122" spans="1:3">
      <c r="A122" s="29" t="s">
        <v>206</v>
      </c>
      <c r="B122" s="9">
        <v>0.54282</v>
      </c>
      <c r="C122" s="9" t="s">
        <v>207</v>
      </c>
    </row>
    <row r="123" spans="1:3">
      <c r="A123" s="29" t="s">
        <v>208</v>
      </c>
      <c r="B123" s="9">
        <v>0.002624</v>
      </c>
      <c r="C123" s="9" t="s">
        <v>209</v>
      </c>
    </row>
    <row r="124" spans="1:3">
      <c r="A124" s="29" t="s">
        <v>210</v>
      </c>
      <c r="B124" s="9">
        <v>0.073913</v>
      </c>
      <c r="C124" s="9" t="s">
        <v>211</v>
      </c>
    </row>
    <row r="125" spans="1:3">
      <c r="A125" s="29" t="s">
        <v>212</v>
      </c>
      <c r="B125" s="9">
        <v>0.70023</v>
      </c>
      <c r="C125" s="9" t="s">
        <v>213</v>
      </c>
    </row>
    <row r="126" spans="1:3">
      <c r="A126" s="29" t="s">
        <v>214</v>
      </c>
      <c r="B126" s="9">
        <v>0.81422</v>
      </c>
      <c r="C126" s="9" t="s">
        <v>215</v>
      </c>
    </row>
    <row r="127" spans="1:3">
      <c r="A127" s="29" t="s">
        <v>216</v>
      </c>
      <c r="B127" s="9">
        <v>20.3556</v>
      </c>
      <c r="C127" s="9" t="s">
        <v>217</v>
      </c>
    </row>
    <row r="128" spans="1:3">
      <c r="A128" s="29" t="s">
        <v>218</v>
      </c>
      <c r="B128" s="9">
        <v>0.90469</v>
      </c>
      <c r="C128" s="9" t="s">
        <v>219</v>
      </c>
    </row>
    <row r="129" spans="1:3">
      <c r="A129" s="29" t="s">
        <v>220</v>
      </c>
      <c r="B129" s="9">
        <v>0.072104</v>
      </c>
      <c r="C129" s="9" t="s">
        <v>221</v>
      </c>
    </row>
    <row r="130" spans="1:3">
      <c r="A130" s="29" t="s">
        <v>222</v>
      </c>
      <c r="B130" s="9">
        <v>0.033655</v>
      </c>
      <c r="C130" s="9" t="s">
        <v>223</v>
      </c>
    </row>
    <row r="131" spans="1:3">
      <c r="A131" s="29" t="s">
        <v>224</v>
      </c>
      <c r="B131" s="9">
        <v>0.45235</v>
      </c>
      <c r="C131" s="9" t="s">
        <v>225</v>
      </c>
    </row>
    <row r="132" spans="1:3">
      <c r="A132" s="44" t="s">
        <v>226</v>
      </c>
      <c r="B132" s="17">
        <v>0.035554</v>
      </c>
      <c r="C132" s="17" t="s">
        <v>227</v>
      </c>
    </row>
    <row r="133" s="2" customFormat="1" spans="1:3">
      <c r="A133" s="2" t="s">
        <v>228</v>
      </c>
      <c r="B133" s="15" t="s">
        <v>229</v>
      </c>
    </row>
    <row r="137" spans="1:3">
      <c r="A137" s="45" t="s">
        <v>230</v>
      </c>
    </row>
    <row r="138" spans="1:3">
      <c r="A138" s="9" t="s">
        <v>231</v>
      </c>
    </row>
    <row r="139" spans="1:3">
      <c r="A139" s="9" t="s">
        <v>232</v>
      </c>
    </row>
    <row r="140" spans="1:3">
      <c r="A140" s="9" t="s">
        <v>233</v>
      </c>
    </row>
    <row r="141" spans="1:3">
      <c r="A141" s="9" t="s">
        <v>234</v>
      </c>
    </row>
  </sheetData>
  <mergeCells count="5">
    <mergeCell ref="A3:B3"/>
    <mergeCell ref="A19:B19"/>
    <mergeCell ref="A67:B67"/>
    <mergeCell ref="A84:B84"/>
    <mergeCell ref="A101:B101"/>
  </mergeCells>
  <conditionalFormatting sqref="C86">
    <cfRule type="duplicateValues" dxfId="0" priority="1"/>
  </conditionalFormatting>
  <hyperlinks>
    <hyperlink ref="C77" r:id="rId1" display="cpd11715_c" tooltip="https://modelseed.org/biochem/compounds/cpd11715"/>
  </hyperlink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2"/>
  <sheetViews>
    <sheetView workbookViewId="0">
      <selection activeCell="C26" sqref="C26"/>
    </sheetView>
  </sheetViews>
  <sheetFormatPr defaultColWidth="9" defaultRowHeight="15.5" outlineLevelCol="2"/>
  <cols>
    <col min="1" max="1" width="24.6363636363636" style="1" customWidth="1"/>
    <col min="2" max="2" width="32" style="1" customWidth="1"/>
    <col min="3" max="3" width="79.8181818181818" style="1" customWidth="1"/>
    <col min="4" max="16384" width="9" style="1"/>
  </cols>
  <sheetData>
    <row r="1" spans="1:3">
      <c r="A1" s="1" t="s">
        <v>235</v>
      </c>
      <c r="B1" s="1" t="s">
        <v>236</v>
      </c>
      <c r="C1" s="1" t="s">
        <v>237</v>
      </c>
    </row>
    <row r="2" spans="1:3">
      <c r="A2" s="1" t="s">
        <v>238</v>
      </c>
      <c r="B2" s="1" t="s">
        <v>239</v>
      </c>
      <c r="C2" s="1" t="s">
        <v>240</v>
      </c>
    </row>
    <row r="3" spans="1:3">
      <c r="A3" s="1" t="s">
        <v>241</v>
      </c>
      <c r="B3" s="1" t="s">
        <v>242</v>
      </c>
      <c r="C3" s="1" t="s">
        <v>243</v>
      </c>
    </row>
    <row r="4" spans="1:3">
      <c r="A4" s="1" t="s">
        <v>244</v>
      </c>
      <c r="B4" s="1" t="s">
        <v>245</v>
      </c>
      <c r="C4" s="1" t="s">
        <v>246</v>
      </c>
    </row>
    <row r="5" spans="1:3">
      <c r="A5" s="1" t="s">
        <v>247</v>
      </c>
      <c r="B5" s="1" t="s">
        <v>239</v>
      </c>
      <c r="C5" s="1" t="s">
        <v>248</v>
      </c>
    </row>
    <row r="6" spans="1:3">
      <c r="A6" s="1" t="s">
        <v>249</v>
      </c>
      <c r="B6" s="1" t="s">
        <v>242</v>
      </c>
      <c r="C6" s="1" t="s">
        <v>250</v>
      </c>
    </row>
    <row r="7" spans="1:3">
      <c r="A7" s="1" t="s">
        <v>251</v>
      </c>
      <c r="B7" s="1" t="s">
        <v>245</v>
      </c>
      <c r="C7" s="1" t="s">
        <v>252</v>
      </c>
    </row>
    <row r="8" spans="1:3">
      <c r="A8" s="1" t="s">
        <v>253</v>
      </c>
      <c r="B8" s="1" t="s">
        <v>239</v>
      </c>
      <c r="C8" s="1" t="s">
        <v>254</v>
      </c>
    </row>
    <row r="9" spans="1:3">
      <c r="A9" s="1" t="s">
        <v>255</v>
      </c>
      <c r="B9" s="1" t="s">
        <v>242</v>
      </c>
      <c r="C9" s="1" t="s">
        <v>250</v>
      </c>
    </row>
    <row r="10" spans="1:3">
      <c r="A10" s="1" t="s">
        <v>256</v>
      </c>
      <c r="B10" s="1" t="s">
        <v>245</v>
      </c>
      <c r="C10" s="1" t="s">
        <v>250</v>
      </c>
    </row>
    <row r="11" spans="1:3">
      <c r="A11" s="1" t="s">
        <v>257</v>
      </c>
      <c r="B11" s="1" t="s">
        <v>242</v>
      </c>
      <c r="C11" s="1" t="s">
        <v>258</v>
      </c>
    </row>
    <row r="12" spans="1:3">
      <c r="A12" s="1" t="s">
        <v>259</v>
      </c>
      <c r="B12" s="1" t="s">
        <v>239</v>
      </c>
      <c r="C12" s="1" t="s">
        <v>260</v>
      </c>
    </row>
    <row r="13" spans="1:3">
      <c r="A13" s="1" t="s">
        <v>261</v>
      </c>
      <c r="B13" s="1" t="s">
        <v>245</v>
      </c>
      <c r="C13" s="1" t="s">
        <v>262</v>
      </c>
    </row>
    <row r="14" spans="1:3">
      <c r="A14" s="1" t="s">
        <v>263</v>
      </c>
      <c r="B14" s="1" t="s">
        <v>242</v>
      </c>
      <c r="C14" s="1" t="s">
        <v>264</v>
      </c>
    </row>
    <row r="15" spans="1:3">
      <c r="A15" s="1" t="s">
        <v>265</v>
      </c>
      <c r="B15" s="1" t="s">
        <v>239</v>
      </c>
      <c r="C15" s="1" t="s">
        <v>266</v>
      </c>
    </row>
    <row r="16" spans="1:3">
      <c r="A16" s="1" t="s">
        <v>267</v>
      </c>
      <c r="B16" s="1" t="s">
        <v>245</v>
      </c>
      <c r="C16" s="1" t="s">
        <v>262</v>
      </c>
    </row>
    <row r="17" spans="1:3">
      <c r="A17" s="1" t="s">
        <v>268</v>
      </c>
      <c r="B17" s="1" t="s">
        <v>242</v>
      </c>
      <c r="C17" s="1" t="s">
        <v>269</v>
      </c>
    </row>
    <row r="18" spans="1:3">
      <c r="A18" s="1" t="s">
        <v>270</v>
      </c>
      <c r="B18" s="1" t="s">
        <v>239</v>
      </c>
      <c r="C18" s="1" t="s">
        <v>271</v>
      </c>
    </row>
    <row r="19" spans="1:3">
      <c r="A19" s="1" t="s">
        <v>272</v>
      </c>
    </row>
    <row r="20" spans="1:3">
      <c r="A20" s="1" t="s">
        <v>273</v>
      </c>
      <c r="B20" s="1" t="s">
        <v>274</v>
      </c>
      <c r="C20" s="1" t="s">
        <v>275</v>
      </c>
    </row>
    <row r="21" spans="1:3">
      <c r="A21" s="1" t="s">
        <v>276</v>
      </c>
      <c r="B21" s="1" t="s">
        <v>277</v>
      </c>
      <c r="C21" s="1" t="s">
        <v>278</v>
      </c>
    </row>
    <row r="22" spans="1:3">
      <c r="A22" s="1" t="s">
        <v>279</v>
      </c>
      <c r="B22" s="1" t="s">
        <v>277</v>
      </c>
      <c r="C22" s="1" t="s">
        <v>278</v>
      </c>
    </row>
    <row r="23" spans="1:3">
      <c r="A23" s="1" t="s">
        <v>280</v>
      </c>
      <c r="B23" s="1" t="s">
        <v>274</v>
      </c>
      <c r="C23" s="1" t="s">
        <v>275</v>
      </c>
    </row>
    <row r="24" spans="1:3">
      <c r="A24" s="1" t="s">
        <v>281</v>
      </c>
      <c r="B24" s="1" t="s">
        <v>277</v>
      </c>
      <c r="C24" s="1" t="s">
        <v>278</v>
      </c>
    </row>
    <row r="25" spans="1:3">
      <c r="A25" s="1" t="s">
        <v>282</v>
      </c>
      <c r="B25" s="1" t="s">
        <v>283</v>
      </c>
      <c r="C25" s="1" t="s">
        <v>284</v>
      </c>
    </row>
    <row r="26" spans="1:3">
      <c r="A26" s="1" t="s">
        <v>285</v>
      </c>
      <c r="B26" s="1" t="s">
        <v>286</v>
      </c>
      <c r="C26" s="1" t="s">
        <v>287</v>
      </c>
    </row>
    <row r="27" spans="1:3">
      <c r="A27" s="1" t="s">
        <v>288</v>
      </c>
      <c r="B27" s="1" t="s">
        <v>286</v>
      </c>
      <c r="C27" s="1" t="s">
        <v>289</v>
      </c>
    </row>
    <row r="28" spans="1:3">
      <c r="A28" s="1" t="s">
        <v>290</v>
      </c>
      <c r="B28" s="1" t="s">
        <v>291</v>
      </c>
      <c r="C28" s="1" t="s">
        <v>292</v>
      </c>
    </row>
    <row r="29" spans="1:3">
      <c r="A29" s="1" t="s">
        <v>293</v>
      </c>
      <c r="B29" s="1" t="s">
        <v>291</v>
      </c>
      <c r="C29" s="1" t="s">
        <v>292</v>
      </c>
    </row>
    <row r="30" spans="1:3">
      <c r="A30" s="1" t="s">
        <v>294</v>
      </c>
      <c r="B30" s="1" t="s">
        <v>286</v>
      </c>
      <c r="C30" s="1" t="s">
        <v>295</v>
      </c>
    </row>
    <row r="31" spans="1:3">
      <c r="A31" s="1" t="s">
        <v>296</v>
      </c>
      <c r="B31" s="1" t="s">
        <v>286</v>
      </c>
      <c r="C31" s="1" t="s">
        <v>297</v>
      </c>
    </row>
    <row r="32" spans="1:3">
      <c r="A32" s="1" t="s">
        <v>298</v>
      </c>
      <c r="B32" s="1" t="s">
        <v>299</v>
      </c>
      <c r="C32" s="1" t="s">
        <v>300</v>
      </c>
    </row>
    <row r="33" spans="1:3">
      <c r="A33" s="1" t="s">
        <v>301</v>
      </c>
      <c r="B33" s="1" t="s">
        <v>302</v>
      </c>
      <c r="C33" s="1" t="s">
        <v>303</v>
      </c>
    </row>
    <row r="34" spans="1:3">
      <c r="A34" s="1" t="s">
        <v>304</v>
      </c>
      <c r="B34" s="1" t="s">
        <v>305</v>
      </c>
      <c r="C34" s="1" t="s">
        <v>306</v>
      </c>
    </row>
    <row r="35" spans="1:3">
      <c r="A35" s="1" t="s">
        <v>307</v>
      </c>
      <c r="B35" s="1" t="s">
        <v>302</v>
      </c>
      <c r="C35" s="1" t="s">
        <v>308</v>
      </c>
    </row>
    <row r="36" spans="1:3">
      <c r="A36" s="1" t="s">
        <v>309</v>
      </c>
      <c r="B36" s="1" t="s">
        <v>302</v>
      </c>
      <c r="C36" s="1" t="s">
        <v>308</v>
      </c>
    </row>
    <row r="37" spans="1:3">
      <c r="A37" s="1" t="s">
        <v>310</v>
      </c>
      <c r="B37" s="1" t="s">
        <v>311</v>
      </c>
      <c r="C37" s="1" t="s">
        <v>312</v>
      </c>
    </row>
    <row r="38" spans="1:3">
      <c r="A38" s="1" t="s">
        <v>313</v>
      </c>
      <c r="B38" s="1" t="s">
        <v>314</v>
      </c>
      <c r="C38" s="1" t="s">
        <v>315</v>
      </c>
    </row>
    <row r="39" spans="1:3">
      <c r="A39" s="1" t="s">
        <v>316</v>
      </c>
      <c r="B39" s="1" t="s">
        <v>311</v>
      </c>
      <c r="C39" s="1" t="s">
        <v>317</v>
      </c>
    </row>
    <row r="40" spans="1:3">
      <c r="A40" s="1" t="s">
        <v>318</v>
      </c>
      <c r="B40" s="1" t="s">
        <v>311</v>
      </c>
      <c r="C40" s="1" t="s">
        <v>317</v>
      </c>
    </row>
    <row r="41" spans="1:3">
      <c r="A41" s="1" t="s">
        <v>319</v>
      </c>
      <c r="B41" s="1" t="s">
        <v>291</v>
      </c>
      <c r="C41" s="1" t="s">
        <v>320</v>
      </c>
    </row>
    <row r="42" spans="1:3">
      <c r="A42" s="1" t="s">
        <v>321</v>
      </c>
      <c r="B42" s="1" t="s">
        <v>283</v>
      </c>
      <c r="C42" s="1" t="s">
        <v>322</v>
      </c>
    </row>
    <row r="43" spans="1:3">
      <c r="A43" s="1" t="s">
        <v>323</v>
      </c>
      <c r="B43" s="1" t="s">
        <v>291</v>
      </c>
      <c r="C43" s="1" t="s">
        <v>324</v>
      </c>
    </row>
    <row r="44" spans="1:3">
      <c r="A44" s="1" t="s">
        <v>325</v>
      </c>
      <c r="B44" s="1" t="s">
        <v>326</v>
      </c>
      <c r="C44" s="1" t="s">
        <v>327</v>
      </c>
    </row>
    <row r="45" spans="1:3">
      <c r="A45" s="1" t="s">
        <v>328</v>
      </c>
      <c r="B45" s="1" t="s">
        <v>329</v>
      </c>
      <c r="C45" s="1" t="s">
        <v>330</v>
      </c>
    </row>
    <row r="46" spans="1:3">
      <c r="A46" s="1" t="s">
        <v>331</v>
      </c>
      <c r="B46" s="1" t="s">
        <v>326</v>
      </c>
      <c r="C46" s="1" t="s">
        <v>327</v>
      </c>
    </row>
    <row r="47" spans="1:3">
      <c r="A47" s="1" t="s">
        <v>332</v>
      </c>
      <c r="B47" s="1" t="s">
        <v>329</v>
      </c>
      <c r="C47" s="1" t="s">
        <v>330</v>
      </c>
    </row>
    <row r="48" spans="1:3">
      <c r="A48" s="1" t="s">
        <v>333</v>
      </c>
      <c r="B48" s="1" t="s">
        <v>329</v>
      </c>
      <c r="C48" s="1" t="s">
        <v>330</v>
      </c>
    </row>
    <row r="49" spans="1:3">
      <c r="A49" s="1" t="s">
        <v>334</v>
      </c>
      <c r="B49" s="1" t="s">
        <v>283</v>
      </c>
      <c r="C49" s="1" t="s">
        <v>335</v>
      </c>
    </row>
    <row r="50" spans="1:3">
      <c r="A50" s="1" t="s">
        <v>336</v>
      </c>
      <c r="B50" s="1" t="s">
        <v>299</v>
      </c>
      <c r="C50" s="1" t="s">
        <v>337</v>
      </c>
    </row>
    <row r="51" spans="1:3">
      <c r="A51" s="1" t="s">
        <v>338</v>
      </c>
      <c r="B51" s="1" t="s">
        <v>283</v>
      </c>
      <c r="C51" s="1" t="s">
        <v>339</v>
      </c>
    </row>
    <row r="52" spans="1:3">
      <c r="A52" s="1" t="s">
        <v>340</v>
      </c>
      <c r="B52" s="1" t="s">
        <v>283</v>
      </c>
      <c r="C52" s="1" t="s">
        <v>339</v>
      </c>
    </row>
    <row r="53" spans="1:3">
      <c r="A53" s="1" t="s">
        <v>341</v>
      </c>
      <c r="B53" s="1" t="s">
        <v>342</v>
      </c>
      <c r="C53" s="1" t="s">
        <v>343</v>
      </c>
    </row>
    <row r="54" spans="1:3">
      <c r="A54" s="1" t="s">
        <v>344</v>
      </c>
      <c r="B54" s="1" t="s">
        <v>345</v>
      </c>
      <c r="C54" s="1" t="s">
        <v>346</v>
      </c>
    </row>
    <row r="55" spans="1:3">
      <c r="A55" s="1" t="s">
        <v>347</v>
      </c>
      <c r="B55" s="1" t="s">
        <v>348</v>
      </c>
      <c r="C55" s="1" t="s">
        <v>349</v>
      </c>
    </row>
    <row r="56" spans="1:3">
      <c r="A56" s="1" t="s">
        <v>350</v>
      </c>
      <c r="B56" s="1" t="s">
        <v>342</v>
      </c>
      <c r="C56" s="1" t="s">
        <v>343</v>
      </c>
    </row>
    <row r="57" spans="1:3">
      <c r="A57" s="1" t="s">
        <v>351</v>
      </c>
      <c r="B57" s="1" t="s">
        <v>345</v>
      </c>
      <c r="C57" s="1" t="s">
        <v>346</v>
      </c>
    </row>
    <row r="58" spans="1:3">
      <c r="A58" s="1" t="s">
        <v>352</v>
      </c>
      <c r="B58" s="1" t="s">
        <v>342</v>
      </c>
      <c r="C58" s="1" t="s">
        <v>343</v>
      </c>
    </row>
    <row r="59" spans="1:3">
      <c r="A59" s="1" t="s">
        <v>353</v>
      </c>
      <c r="B59" s="1" t="s">
        <v>345</v>
      </c>
      <c r="C59" s="1" t="s">
        <v>354</v>
      </c>
    </row>
    <row r="60" spans="1:3">
      <c r="A60" s="1" t="s">
        <v>355</v>
      </c>
      <c r="B60" s="1" t="s">
        <v>283</v>
      </c>
      <c r="C60" s="1" t="s">
        <v>356</v>
      </c>
    </row>
    <row r="61" spans="1:3">
      <c r="A61" s="1" t="s">
        <v>357</v>
      </c>
      <c r="B61" s="1" t="s">
        <v>345</v>
      </c>
      <c r="C61" s="1" t="s">
        <v>358</v>
      </c>
    </row>
    <row r="62" spans="1:3">
      <c r="A62" s="1" t="s">
        <v>359</v>
      </c>
      <c r="B62" s="1" t="s">
        <v>274</v>
      </c>
      <c r="C62" s="1" t="s">
        <v>360</v>
      </c>
    </row>
    <row r="63" spans="1:3">
      <c r="A63" s="1" t="s">
        <v>361</v>
      </c>
      <c r="B63" s="1" t="s">
        <v>362</v>
      </c>
      <c r="C63" s="1" t="s">
        <v>363</v>
      </c>
    </row>
    <row r="64" spans="1:3">
      <c r="A64" s="1" t="s">
        <v>364</v>
      </c>
      <c r="B64" s="1" t="s">
        <v>362</v>
      </c>
      <c r="C64" s="1" t="s">
        <v>363</v>
      </c>
    </row>
    <row r="65" spans="1:3">
      <c r="A65" s="1" t="s">
        <v>365</v>
      </c>
      <c r="B65" s="1" t="s">
        <v>299</v>
      </c>
      <c r="C65" s="1" t="s">
        <v>366</v>
      </c>
    </row>
    <row r="66" spans="1:3">
      <c r="A66" s="1" t="s">
        <v>367</v>
      </c>
      <c r="B66" s="1" t="s">
        <v>342</v>
      </c>
      <c r="C66" s="1" t="s">
        <v>368</v>
      </c>
    </row>
    <row r="67" spans="1:3">
      <c r="A67" s="1" t="s">
        <v>369</v>
      </c>
      <c r="B67" s="1" t="s">
        <v>362</v>
      </c>
      <c r="C67" s="1" t="s">
        <v>370</v>
      </c>
    </row>
    <row r="68" spans="1:3">
      <c r="A68" s="1" t="s">
        <v>371</v>
      </c>
      <c r="B68" s="1" t="s">
        <v>314</v>
      </c>
      <c r="C68" s="1" t="s">
        <v>372</v>
      </c>
    </row>
    <row r="69" spans="1:3">
      <c r="A69" s="1" t="s">
        <v>373</v>
      </c>
      <c r="B69" s="1" t="s">
        <v>374</v>
      </c>
      <c r="C69" s="1" t="s">
        <v>375</v>
      </c>
    </row>
    <row r="70" spans="1:3">
      <c r="A70" s="1" t="s">
        <v>376</v>
      </c>
      <c r="B70" s="1" t="s">
        <v>291</v>
      </c>
      <c r="C70" s="1" t="s">
        <v>377</v>
      </c>
    </row>
    <row r="71" spans="1:3">
      <c r="A71" s="1" t="s">
        <v>378</v>
      </c>
      <c r="B71" s="1" t="s">
        <v>379</v>
      </c>
      <c r="C71" s="1" t="s">
        <v>380</v>
      </c>
    </row>
    <row r="72" spans="1:3">
      <c r="A72" s="1" t="s">
        <v>381</v>
      </c>
      <c r="B72" s="1" t="s">
        <v>374</v>
      </c>
      <c r="C72" s="1" t="s">
        <v>382</v>
      </c>
    </row>
    <row r="73" spans="1:3">
      <c r="A73" s="1" t="s">
        <v>383</v>
      </c>
      <c r="B73" s="1" t="s">
        <v>374</v>
      </c>
      <c r="C73" s="1" t="s">
        <v>384</v>
      </c>
    </row>
    <row r="74" spans="1:3">
      <c r="A74" s="1" t="s">
        <v>385</v>
      </c>
      <c r="B74" s="1" t="s">
        <v>283</v>
      </c>
      <c r="C74" s="1" t="s">
        <v>386</v>
      </c>
    </row>
    <row r="75" spans="1:3">
      <c r="A75" s="1" t="s">
        <v>387</v>
      </c>
      <c r="B75" s="1" t="s">
        <v>277</v>
      </c>
      <c r="C75" s="1" t="s">
        <v>388</v>
      </c>
    </row>
    <row r="76" spans="1:3">
      <c r="A76" s="1" t="s">
        <v>389</v>
      </c>
      <c r="B76" s="1" t="s">
        <v>390</v>
      </c>
      <c r="C76" s="1" t="s">
        <v>391</v>
      </c>
    </row>
    <row r="77" spans="1:3">
      <c r="A77" s="1" t="s">
        <v>392</v>
      </c>
      <c r="B77" s="1" t="s">
        <v>393</v>
      </c>
      <c r="C77" s="1" t="s">
        <v>394</v>
      </c>
    </row>
    <row r="78" spans="1:3">
      <c r="A78" s="1" t="s">
        <v>395</v>
      </c>
      <c r="B78" s="1" t="s">
        <v>393</v>
      </c>
      <c r="C78" s="1" t="s">
        <v>394</v>
      </c>
    </row>
    <row r="79" spans="1:3">
      <c r="A79" s="1" t="s">
        <v>396</v>
      </c>
      <c r="B79" s="1" t="s">
        <v>329</v>
      </c>
      <c r="C79" s="1" t="s">
        <v>397</v>
      </c>
    </row>
    <row r="80" spans="1:3">
      <c r="A80" s="1" t="s">
        <v>398</v>
      </c>
      <c r="B80" s="1" t="s">
        <v>374</v>
      </c>
      <c r="C80" s="1" t="s">
        <v>399</v>
      </c>
    </row>
    <row r="81" spans="1:3">
      <c r="A81" s="1" t="s">
        <v>400</v>
      </c>
      <c r="B81" s="1" t="s">
        <v>302</v>
      </c>
      <c r="C81" s="1" t="s">
        <v>401</v>
      </c>
    </row>
    <row r="82" spans="1:3">
      <c r="A82" s="1" t="s">
        <v>402</v>
      </c>
      <c r="B82" s="1" t="s">
        <v>342</v>
      </c>
      <c r="C82" s="1" t="s">
        <v>403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biomass composition</vt:lpstr>
      <vt:lpstr>rna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zxy</dc:creator>
  <cp:lastModifiedBy>章新宇</cp:lastModifiedBy>
  <dcterms:created xsi:type="dcterms:W3CDTF">2023-05-12T11:15:00Z</dcterms:created>
  <dcterms:modified xsi:type="dcterms:W3CDTF">2025-12-09T04:53:47Z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48A00234E1F942DD90F968F9069B2B8C_13</vt:lpwstr>
  </property>
  <property fmtid="{D5CDD505-2E9C-101B-9397-08002B2CF9AE}" pid="4" name="CalculationRule">
    <vt:i4>0</vt:i4>
  </property>
</Properties>
</file>